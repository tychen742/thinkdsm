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n85/workspace/dsm/data/3420-2025-fall-quizzes/"/>
    </mc:Choice>
  </mc:AlternateContent>
  <xr:revisionPtr revIDLastSave="0" documentId="13_ncr:1_{0C5DCEE3-ABC7-CB4A-9773-ED669B550586}" xr6:coauthVersionLast="47" xr6:coauthVersionMax="47" xr10:uidLastSave="{00000000-0000-0000-0000-000000000000}"/>
  <bookViews>
    <workbookView xWindow="-25920" yWindow="-1340" windowWidth="25920" windowHeight="20980" activeTab="2" xr2:uid="{02943BD8-8D23-1D42-A928-8937731C9A90}"/>
  </bookViews>
  <sheets>
    <sheet name="py-np-pd-2" sheetId="4" r:id="rId1"/>
    <sheet name="py-np-pd" sheetId="3" r:id="rId2"/>
    <sheet name="py-review" sheetId="2" r:id="rId3"/>
    <sheet name="py-review(OLD)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4" l="1"/>
  <c r="J16" i="4"/>
  <c r="J17" i="4"/>
  <c r="J20" i="4"/>
  <c r="I4" i="4"/>
  <c r="J4" i="4" s="1"/>
  <c r="I5" i="4"/>
  <c r="I6" i="4"/>
  <c r="I7" i="4"/>
  <c r="J7" i="4" s="1"/>
  <c r="I8" i="4"/>
  <c r="J8" i="4" s="1"/>
  <c r="I9" i="4"/>
  <c r="I10" i="4"/>
  <c r="J10" i="4" s="1"/>
  <c r="I11" i="4"/>
  <c r="J11" i="4" s="1"/>
  <c r="I12" i="4"/>
  <c r="J12" i="4" s="1"/>
  <c r="I13" i="4"/>
  <c r="J13" i="4" s="1"/>
  <c r="I14" i="4"/>
  <c r="J14" i="4" s="1"/>
  <c r="I15" i="4"/>
  <c r="I16" i="4"/>
  <c r="I17" i="4"/>
  <c r="I18" i="4"/>
  <c r="J18" i="4" s="1"/>
  <c r="I19" i="4"/>
  <c r="J19" i="4" s="1"/>
  <c r="I20" i="4"/>
  <c r="I21" i="4"/>
  <c r="J21" i="4" s="1"/>
  <c r="I22" i="4"/>
  <c r="J22" i="4" s="1"/>
  <c r="I3" i="4"/>
  <c r="J3" i="4" s="1"/>
  <c r="H24" i="4"/>
  <c r="G24" i="4"/>
  <c r="F24" i="4"/>
  <c r="E24" i="4"/>
  <c r="D24" i="4"/>
  <c r="H23" i="4"/>
  <c r="G23" i="4"/>
  <c r="F23" i="4"/>
  <c r="E23" i="4"/>
  <c r="D23" i="4"/>
  <c r="J9" i="4"/>
  <c r="J5" i="4"/>
  <c r="I24" i="4" l="1"/>
  <c r="I23" i="4"/>
  <c r="J6" i="4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E23" i="3"/>
  <c r="F23" i="3"/>
  <c r="G23" i="3"/>
  <c r="H23" i="3"/>
  <c r="I23" i="3"/>
  <c r="D23" i="3"/>
  <c r="E24" i="3"/>
  <c r="F24" i="3"/>
  <c r="G24" i="3"/>
  <c r="H24" i="3"/>
  <c r="I24" i="3"/>
  <c r="D24" i="3"/>
  <c r="J4" i="3"/>
  <c r="K4" i="3" s="1"/>
  <c r="J6" i="3"/>
  <c r="J7" i="3"/>
  <c r="K7" i="3" s="1"/>
  <c r="J3" i="3"/>
  <c r="K3" i="3" s="1"/>
  <c r="J8" i="3"/>
  <c r="K8" i="3" s="1"/>
  <c r="J10" i="3"/>
  <c r="K10" i="3" s="1"/>
  <c r="J9" i="3"/>
  <c r="K9" i="3" s="1"/>
  <c r="J11" i="3"/>
  <c r="K11" i="3" s="1"/>
  <c r="J13" i="3"/>
  <c r="K13" i="3" s="1"/>
  <c r="J12" i="3"/>
  <c r="K12" i="3" s="1"/>
  <c r="J15" i="3"/>
  <c r="K15" i="3" s="1"/>
  <c r="J18" i="3"/>
  <c r="K18" i="3" s="1"/>
  <c r="J17" i="3"/>
  <c r="K17" i="3" s="1"/>
  <c r="J19" i="3"/>
  <c r="K19" i="3" s="1"/>
  <c r="J20" i="3"/>
  <c r="K20" i="3" s="1"/>
  <c r="J22" i="3"/>
  <c r="K22" i="3" s="1"/>
  <c r="J5" i="3"/>
  <c r="K5" i="3" s="1"/>
  <c r="M23" i="2"/>
  <c r="M24" i="2" s="1"/>
  <c r="L23" i="2"/>
  <c r="L24" i="2" s="1"/>
  <c r="K23" i="2"/>
  <c r="K24" i="2" s="1"/>
  <c r="J23" i="2"/>
  <c r="J24" i="2" s="1"/>
  <c r="I23" i="2"/>
  <c r="I24" i="2" s="1"/>
  <c r="H23" i="2"/>
  <c r="H24" i="2" s="1"/>
  <c r="G23" i="2"/>
  <c r="G24" i="2" s="1"/>
  <c r="F23" i="2"/>
  <c r="F24" i="2" s="1"/>
  <c r="E23" i="2"/>
  <c r="E24" i="2" s="1"/>
  <c r="D23" i="2"/>
  <c r="D24" i="2" s="1"/>
  <c r="J24" i="1"/>
  <c r="K24" i="1"/>
  <c r="L24" i="1"/>
  <c r="D24" i="1"/>
  <c r="D25" i="1" s="1"/>
  <c r="E24" i="1"/>
  <c r="E25" i="1" s="1"/>
  <c r="F24" i="1"/>
  <c r="F25" i="1" s="1"/>
  <c r="G24" i="1"/>
  <c r="G25" i="1" s="1"/>
  <c r="H24" i="1"/>
  <c r="H25" i="1" s="1"/>
  <c r="I24" i="1"/>
  <c r="I25" i="1" s="1"/>
  <c r="J23" i="1"/>
  <c r="K23" i="1"/>
  <c r="L23" i="1"/>
  <c r="C24" i="1"/>
  <c r="C25" i="1" s="1"/>
  <c r="J23" i="3" l="1"/>
  <c r="K6" i="3"/>
  <c r="J24" i="3"/>
</calcChain>
</file>

<file path=xl/sharedStrings.xml><?xml version="1.0" encoding="utf-8"?>
<sst xmlns="http://schemas.openxmlformats.org/spreadsheetml/2006/main" count="248" uniqueCount="61">
  <si>
    <t>name</t>
  </si>
  <si>
    <t>total</t>
  </si>
  <si>
    <t>d</t>
  </si>
  <si>
    <t>Kenan B.</t>
  </si>
  <si>
    <t>Nick P.</t>
  </si>
  <si>
    <t>Rachel J.</t>
  </si>
  <si>
    <t>Catherine S.</t>
  </si>
  <si>
    <t>Jonathan B.</t>
  </si>
  <si>
    <t>Zachary C.</t>
  </si>
  <si>
    <t>Johnathan R.</t>
  </si>
  <si>
    <t>Gavin B.</t>
  </si>
  <si>
    <t>Will B.</t>
  </si>
  <si>
    <t>Jason D.</t>
  </si>
  <si>
    <t>Raysa O.</t>
  </si>
  <si>
    <t>Kyle B.</t>
  </si>
  <si>
    <t>Hunter G.</t>
  </si>
  <si>
    <t>Blake W.</t>
  </si>
  <si>
    <t>Zach P.</t>
  </si>
  <si>
    <t>Karthik T.</t>
  </si>
  <si>
    <t>Jude G.</t>
  </si>
  <si>
    <t>Nate D.</t>
  </si>
  <si>
    <t>1. Data Structure</t>
  </si>
  <si>
    <t>2. Lists</t>
  </si>
  <si>
    <t>3. Strings</t>
  </si>
  <si>
    <t>4. Loops</t>
  </si>
  <si>
    <t>5. Function</t>
  </si>
  <si>
    <t>points</t>
  </si>
  <si>
    <t>q01.1. Data Types</t>
  </si>
  <si>
    <t>q02.1. Square Brackets</t>
  </si>
  <si>
    <t>q02.2. List Constructor</t>
  </si>
  <si>
    <t>q02.3. List Comprehension</t>
  </si>
  <si>
    <t>q03.1. List Constructor</t>
  </si>
  <si>
    <t>q03.2. split() Method</t>
  </si>
  <si>
    <t>q04.1. Looping Lists</t>
  </si>
  <si>
    <t>q04.2. Looping Range</t>
  </si>
  <si>
    <t>q04.3. Looping Strings</t>
  </si>
  <si>
    <t>q05. Function</t>
  </si>
  <si>
    <t>p</t>
  </si>
  <si>
    <t>c</t>
  </si>
  <si>
    <t>b</t>
  </si>
  <si>
    <t>w</t>
  </si>
  <si>
    <t>t</t>
  </si>
  <si>
    <t>r</t>
  </si>
  <si>
    <t>s</t>
  </si>
  <si>
    <t>o</t>
  </si>
  <si>
    <t>g</t>
  </si>
  <si>
    <t>j</t>
  </si>
  <si>
    <t>last name</t>
  </si>
  <si>
    <t>Dushmani, G.</t>
  </si>
  <si>
    <t>q1.1.for loop - list</t>
  </si>
  <si>
    <t>q1.2. List Comprehension</t>
  </si>
  <si>
    <t>q1.3. dictionary</t>
  </si>
  <si>
    <t>q2.2 np-matrix</t>
  </si>
  <si>
    <t>q3.3. Create DataFrame</t>
  </si>
  <si>
    <t>q3.5 Missing data</t>
  </si>
  <si>
    <t>NA</t>
  </si>
  <si>
    <t>Quinn, J.</t>
  </si>
  <si>
    <t>SUM</t>
  </si>
  <si>
    <t>Quinn J.</t>
  </si>
  <si>
    <t>percent</t>
  </si>
  <si>
    <t>q1.1.for loop with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</si>
</sst>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8A34-68DC-614D-9212-709EBD2097C8}">
  <dimension ref="A2:J24"/>
  <sheetViews>
    <sheetView workbookViewId="0">
      <selection activeCell="I19" sqref="I19"/>
    </sheetView>
  </sheetViews>
  <sheetFormatPr baseColWidth="10" defaultColWidth="12.33203125" defaultRowHeight="16" x14ac:dyDescent="0.2"/>
  <cols>
    <col min="1" max="1" width="3.1640625" bestFit="1" customWidth="1"/>
    <col min="2" max="2" width="12" bestFit="1" customWidth="1"/>
    <col min="3" max="3" width="9" bestFit="1" customWidth="1"/>
    <col min="4" max="4" width="22.33203125" bestFit="1" customWidth="1"/>
    <col min="5" max="5" width="13.6640625" bestFit="1" customWidth="1"/>
    <col min="6" max="6" width="12.83203125" bestFit="1" customWidth="1"/>
    <col min="7" max="7" width="20.83203125" bestFit="1" customWidth="1"/>
    <col min="8" max="8" width="15" bestFit="1" customWidth="1"/>
    <col min="9" max="9" width="5" bestFit="1" customWidth="1"/>
    <col min="10" max="10" width="7.5" bestFit="1" customWidth="1"/>
  </cols>
  <sheetData>
    <row r="2" spans="1:10" x14ac:dyDescent="0.2">
      <c r="B2" t="s">
        <v>0</v>
      </c>
      <c r="C2" t="s">
        <v>47</v>
      </c>
      <c r="D2" t="s">
        <v>60</v>
      </c>
      <c r="E2" t="s">
        <v>51</v>
      </c>
      <c r="F2" t="s">
        <v>52</v>
      </c>
      <c r="G2" t="s">
        <v>53</v>
      </c>
      <c r="H2" t="s">
        <v>54</v>
      </c>
      <c r="I2" t="s">
        <v>1</v>
      </c>
      <c r="J2" t="s">
        <v>59</v>
      </c>
    </row>
    <row r="3" spans="1:10" x14ac:dyDescent="0.2">
      <c r="A3">
        <v>19</v>
      </c>
      <c r="B3" t="s">
        <v>10</v>
      </c>
      <c r="C3" t="s">
        <v>39</v>
      </c>
      <c r="D3">
        <v>0</v>
      </c>
      <c r="E3">
        <v>1.5</v>
      </c>
      <c r="F3">
        <v>0.5</v>
      </c>
      <c r="G3">
        <v>1</v>
      </c>
      <c r="H3">
        <v>1</v>
      </c>
      <c r="I3">
        <f>SUM(D3:H3)</f>
        <v>4</v>
      </c>
      <c r="J3" s="2">
        <f t="shared" ref="J3:J22" si="0">I3/10</f>
        <v>0.4</v>
      </c>
    </row>
    <row r="4" spans="1:10" x14ac:dyDescent="0.2">
      <c r="A4">
        <v>7</v>
      </c>
      <c r="B4" t="s">
        <v>7</v>
      </c>
      <c r="C4" t="s">
        <v>39</v>
      </c>
      <c r="D4">
        <v>1.25</v>
      </c>
      <c r="E4">
        <v>2</v>
      </c>
      <c r="F4">
        <v>0.5</v>
      </c>
      <c r="G4">
        <v>1</v>
      </c>
      <c r="H4">
        <v>0</v>
      </c>
      <c r="I4">
        <f t="shared" ref="I4:I22" si="1">SUM(D4:H4)</f>
        <v>4.75</v>
      </c>
      <c r="J4" s="2">
        <f t="shared" si="0"/>
        <v>0.47499999999999998</v>
      </c>
    </row>
    <row r="5" spans="1:10" x14ac:dyDescent="0.2">
      <c r="A5">
        <v>3</v>
      </c>
      <c r="B5" t="s">
        <v>3</v>
      </c>
      <c r="C5" t="s">
        <v>39</v>
      </c>
      <c r="D5">
        <v>0</v>
      </c>
      <c r="E5">
        <v>2</v>
      </c>
      <c r="F5">
        <v>1.5</v>
      </c>
      <c r="G5">
        <v>0</v>
      </c>
      <c r="H5">
        <v>0</v>
      </c>
      <c r="I5">
        <f t="shared" si="1"/>
        <v>3.5</v>
      </c>
      <c r="J5" s="2">
        <f t="shared" si="0"/>
        <v>0.35</v>
      </c>
    </row>
    <row r="6" spans="1:10" x14ac:dyDescent="0.2">
      <c r="A6">
        <v>12</v>
      </c>
      <c r="B6" t="s">
        <v>14</v>
      </c>
      <c r="C6" t="s">
        <v>39</v>
      </c>
      <c r="D6">
        <v>0</v>
      </c>
      <c r="E6">
        <v>1.5</v>
      </c>
      <c r="F6">
        <v>1</v>
      </c>
      <c r="G6">
        <v>0</v>
      </c>
      <c r="H6">
        <v>0</v>
      </c>
      <c r="I6">
        <f t="shared" si="1"/>
        <v>2.5</v>
      </c>
      <c r="J6" s="2">
        <f t="shared" si="0"/>
        <v>0.25</v>
      </c>
    </row>
    <row r="7" spans="1:10" x14ac:dyDescent="0.2">
      <c r="A7">
        <v>18</v>
      </c>
      <c r="B7" t="s">
        <v>11</v>
      </c>
      <c r="C7" t="s">
        <v>39</v>
      </c>
      <c r="D7">
        <v>0</v>
      </c>
      <c r="E7">
        <v>1.5</v>
      </c>
      <c r="F7">
        <v>0</v>
      </c>
      <c r="G7">
        <v>0</v>
      </c>
      <c r="H7">
        <v>0.5</v>
      </c>
      <c r="I7">
        <f t="shared" si="1"/>
        <v>2</v>
      </c>
      <c r="J7" s="2">
        <f t="shared" si="0"/>
        <v>0.2</v>
      </c>
    </row>
    <row r="8" spans="1:10" x14ac:dyDescent="0.2">
      <c r="A8">
        <v>2</v>
      </c>
      <c r="B8" t="s">
        <v>8</v>
      </c>
      <c r="C8" t="s">
        <v>38</v>
      </c>
      <c r="D8">
        <v>2</v>
      </c>
      <c r="E8">
        <v>1.5</v>
      </c>
      <c r="F8">
        <v>1.75</v>
      </c>
      <c r="G8">
        <v>1.75</v>
      </c>
      <c r="H8">
        <v>1.5</v>
      </c>
      <c r="I8">
        <f t="shared" si="1"/>
        <v>8.5</v>
      </c>
      <c r="J8" s="2">
        <f t="shared" si="0"/>
        <v>0.85</v>
      </c>
    </row>
    <row r="9" spans="1:10" x14ac:dyDescent="0.2">
      <c r="A9">
        <v>15</v>
      </c>
      <c r="B9" t="s">
        <v>12</v>
      </c>
      <c r="C9" t="s">
        <v>2</v>
      </c>
      <c r="D9">
        <v>0</v>
      </c>
      <c r="E9">
        <v>1.5</v>
      </c>
      <c r="F9">
        <v>1.5</v>
      </c>
      <c r="G9">
        <v>0.5</v>
      </c>
      <c r="H9">
        <v>2</v>
      </c>
      <c r="I9">
        <f t="shared" si="1"/>
        <v>5.5</v>
      </c>
      <c r="J9" s="2">
        <f t="shared" si="0"/>
        <v>0.55000000000000004</v>
      </c>
    </row>
    <row r="10" spans="1:10" x14ac:dyDescent="0.2">
      <c r="A10">
        <v>6</v>
      </c>
      <c r="B10" t="s">
        <v>20</v>
      </c>
      <c r="C10" t="s">
        <v>2</v>
      </c>
      <c r="D10">
        <v>0.5</v>
      </c>
      <c r="E10">
        <v>0.5</v>
      </c>
      <c r="F10">
        <v>0.5</v>
      </c>
      <c r="G10">
        <v>0</v>
      </c>
      <c r="H10">
        <v>0.5</v>
      </c>
      <c r="I10">
        <f t="shared" si="1"/>
        <v>2</v>
      </c>
      <c r="J10" s="2">
        <f t="shared" si="0"/>
        <v>0.2</v>
      </c>
    </row>
    <row r="11" spans="1:10" x14ac:dyDescent="0.2">
      <c r="A11">
        <v>16</v>
      </c>
      <c r="B11" t="s">
        <v>48</v>
      </c>
      <c r="C11" t="s">
        <v>45</v>
      </c>
      <c r="D11">
        <v>0</v>
      </c>
      <c r="E11">
        <v>2</v>
      </c>
      <c r="F11">
        <v>2</v>
      </c>
      <c r="G11">
        <v>2</v>
      </c>
      <c r="H11">
        <v>2</v>
      </c>
      <c r="I11">
        <f t="shared" si="1"/>
        <v>8</v>
      </c>
      <c r="J11" s="2">
        <f t="shared" si="0"/>
        <v>0.8</v>
      </c>
    </row>
    <row r="12" spans="1:10" x14ac:dyDescent="0.2">
      <c r="A12">
        <v>14</v>
      </c>
      <c r="B12" t="s">
        <v>15</v>
      </c>
      <c r="C12" t="s">
        <v>45</v>
      </c>
      <c r="D12">
        <v>1</v>
      </c>
      <c r="E12">
        <v>1.5</v>
      </c>
      <c r="F12">
        <v>1.75</v>
      </c>
      <c r="G12">
        <v>2</v>
      </c>
      <c r="H12">
        <v>2</v>
      </c>
      <c r="I12">
        <f t="shared" si="1"/>
        <v>8.25</v>
      </c>
      <c r="J12" s="2">
        <f t="shared" si="0"/>
        <v>0.82499999999999996</v>
      </c>
    </row>
    <row r="13" spans="1:10" x14ac:dyDescent="0.2">
      <c r="A13">
        <v>13</v>
      </c>
      <c r="B13" t="s">
        <v>19</v>
      </c>
      <c r="C13" t="s">
        <v>45</v>
      </c>
      <c r="D13">
        <v>0.5</v>
      </c>
      <c r="E13">
        <v>2</v>
      </c>
      <c r="F13">
        <v>1.75</v>
      </c>
      <c r="G13">
        <v>1</v>
      </c>
      <c r="H13">
        <v>1.5</v>
      </c>
      <c r="I13">
        <f t="shared" si="1"/>
        <v>6.75</v>
      </c>
      <c r="J13" s="2">
        <f t="shared" si="0"/>
        <v>0.67500000000000004</v>
      </c>
    </row>
    <row r="14" spans="1:10" x14ac:dyDescent="0.2">
      <c r="A14">
        <v>20</v>
      </c>
      <c r="B14" t="s">
        <v>58</v>
      </c>
      <c r="C14" t="s">
        <v>46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>
        <f t="shared" si="1"/>
        <v>0</v>
      </c>
      <c r="J14" s="2">
        <f t="shared" si="0"/>
        <v>0</v>
      </c>
    </row>
    <row r="15" spans="1:10" x14ac:dyDescent="0.2">
      <c r="A15">
        <v>17</v>
      </c>
      <c r="B15" t="s">
        <v>5</v>
      </c>
      <c r="C15" t="s">
        <v>46</v>
      </c>
      <c r="D15">
        <v>0.5</v>
      </c>
      <c r="E15">
        <v>2</v>
      </c>
      <c r="F15">
        <v>1</v>
      </c>
      <c r="G15">
        <v>1</v>
      </c>
      <c r="H15">
        <v>0.5</v>
      </c>
      <c r="I15">
        <f t="shared" si="1"/>
        <v>5</v>
      </c>
      <c r="J15" s="2">
        <f t="shared" si="0"/>
        <v>0.5</v>
      </c>
    </row>
    <row r="16" spans="1:10" x14ac:dyDescent="0.2">
      <c r="A16">
        <v>11</v>
      </c>
      <c r="B16" t="s">
        <v>13</v>
      </c>
      <c r="C16" t="s">
        <v>44</v>
      </c>
      <c r="D16">
        <v>0.5</v>
      </c>
      <c r="E16">
        <v>2</v>
      </c>
      <c r="F16">
        <v>1.5</v>
      </c>
      <c r="G16">
        <v>2</v>
      </c>
      <c r="H16">
        <v>2</v>
      </c>
      <c r="I16">
        <f t="shared" si="1"/>
        <v>8</v>
      </c>
      <c r="J16" s="2">
        <f t="shared" si="0"/>
        <v>0.8</v>
      </c>
    </row>
    <row r="17" spans="1:10" x14ac:dyDescent="0.2">
      <c r="A17">
        <v>5</v>
      </c>
      <c r="B17" t="s">
        <v>4</v>
      </c>
      <c r="C17" t="s">
        <v>37</v>
      </c>
      <c r="D17">
        <v>0</v>
      </c>
      <c r="E17">
        <v>1.5</v>
      </c>
      <c r="F17">
        <v>1.5</v>
      </c>
      <c r="G17">
        <v>1</v>
      </c>
      <c r="H17">
        <v>0.5</v>
      </c>
      <c r="I17">
        <f t="shared" si="1"/>
        <v>4.5</v>
      </c>
      <c r="J17" s="2">
        <f t="shared" si="0"/>
        <v>0.45</v>
      </c>
    </row>
    <row r="18" spans="1:10" x14ac:dyDescent="0.2">
      <c r="A18">
        <v>1</v>
      </c>
      <c r="B18" t="s">
        <v>17</v>
      </c>
      <c r="C18" t="s">
        <v>37</v>
      </c>
      <c r="D18">
        <v>0</v>
      </c>
      <c r="E18">
        <v>0.5</v>
      </c>
      <c r="F18">
        <v>0.5</v>
      </c>
      <c r="G18">
        <v>0.5</v>
      </c>
      <c r="H18">
        <v>0.5</v>
      </c>
      <c r="I18">
        <f t="shared" si="1"/>
        <v>2</v>
      </c>
      <c r="J18" s="2">
        <f t="shared" si="0"/>
        <v>0.2</v>
      </c>
    </row>
    <row r="19" spans="1:10" x14ac:dyDescent="0.2">
      <c r="A19">
        <v>9</v>
      </c>
      <c r="B19" t="s">
        <v>9</v>
      </c>
      <c r="C19" t="s">
        <v>42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>
        <f t="shared" si="1"/>
        <v>0</v>
      </c>
      <c r="J19" s="2">
        <f t="shared" si="0"/>
        <v>0</v>
      </c>
    </row>
    <row r="20" spans="1:10" x14ac:dyDescent="0.2">
      <c r="A20">
        <v>10</v>
      </c>
      <c r="B20" t="s">
        <v>6</v>
      </c>
      <c r="C20" t="s">
        <v>43</v>
      </c>
      <c r="D20">
        <v>0</v>
      </c>
      <c r="E20">
        <v>2</v>
      </c>
      <c r="F20">
        <v>0.5</v>
      </c>
      <c r="G20">
        <v>0.5</v>
      </c>
      <c r="H20">
        <v>0.5</v>
      </c>
      <c r="I20">
        <f t="shared" si="1"/>
        <v>3.5</v>
      </c>
      <c r="J20" s="2">
        <f t="shared" si="0"/>
        <v>0.35</v>
      </c>
    </row>
    <row r="21" spans="1:10" x14ac:dyDescent="0.2">
      <c r="A21">
        <v>8</v>
      </c>
      <c r="B21" t="s">
        <v>18</v>
      </c>
      <c r="C21" t="s">
        <v>41</v>
      </c>
      <c r="D21">
        <v>1.5</v>
      </c>
      <c r="E21">
        <v>1.5</v>
      </c>
      <c r="F21">
        <v>1</v>
      </c>
      <c r="G21">
        <v>0.5</v>
      </c>
      <c r="H21">
        <v>2</v>
      </c>
      <c r="I21">
        <f t="shared" si="1"/>
        <v>6.5</v>
      </c>
      <c r="J21" s="2">
        <f t="shared" si="0"/>
        <v>0.65</v>
      </c>
    </row>
    <row r="22" spans="1:10" x14ac:dyDescent="0.2">
      <c r="A22">
        <v>4</v>
      </c>
      <c r="B22" t="s">
        <v>16</v>
      </c>
      <c r="C22" t="s">
        <v>40</v>
      </c>
      <c r="D22">
        <v>0</v>
      </c>
      <c r="E22">
        <v>2</v>
      </c>
      <c r="F22">
        <v>0.5</v>
      </c>
      <c r="G22">
        <v>1</v>
      </c>
      <c r="H22">
        <v>0.5</v>
      </c>
      <c r="I22">
        <f t="shared" si="1"/>
        <v>4</v>
      </c>
      <c r="J22" s="2">
        <f t="shared" si="0"/>
        <v>0.4</v>
      </c>
    </row>
    <row r="23" spans="1:10" x14ac:dyDescent="0.2">
      <c r="B23" t="s">
        <v>57</v>
      </c>
      <c r="D23">
        <f t="shared" ref="D23:I23" si="2">SUM(D3:D22)</f>
        <v>7.75</v>
      </c>
      <c r="E23">
        <f t="shared" si="2"/>
        <v>29</v>
      </c>
      <c r="F23">
        <f t="shared" si="2"/>
        <v>19.25</v>
      </c>
      <c r="G23">
        <f t="shared" si="2"/>
        <v>15.75</v>
      </c>
      <c r="H23">
        <f t="shared" si="2"/>
        <v>17.5</v>
      </c>
      <c r="I23">
        <f t="shared" si="2"/>
        <v>89.25</v>
      </c>
      <c r="J23" s="2"/>
    </row>
    <row r="24" spans="1:10" x14ac:dyDescent="0.2">
      <c r="D24" s="1">
        <f t="shared" ref="D24:H24" si="3">SUM(D3:D22)/34</f>
        <v>0.22794117647058823</v>
      </c>
      <c r="E24" s="1">
        <f t="shared" si="3"/>
        <v>0.8529411764705882</v>
      </c>
      <c r="F24" s="1">
        <f t="shared" si="3"/>
        <v>0.56617647058823528</v>
      </c>
      <c r="G24" s="1">
        <f t="shared" si="3"/>
        <v>0.46323529411764708</v>
      </c>
      <c r="H24" s="1">
        <f t="shared" si="3"/>
        <v>0.51470588235294112</v>
      </c>
      <c r="I24" s="1">
        <f>SUM(I3:I22)/(34*6)</f>
        <v>0.4375</v>
      </c>
      <c r="J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88FA-08F2-5D4B-BCDA-BABB71AA94B0}">
  <dimension ref="A2:K24"/>
  <sheetViews>
    <sheetView topLeftCell="A3" workbookViewId="0">
      <selection activeCell="K3" sqref="K3"/>
    </sheetView>
  </sheetViews>
  <sheetFormatPr baseColWidth="10" defaultColWidth="12.5" defaultRowHeight="16" x14ac:dyDescent="0.2"/>
  <cols>
    <col min="1" max="1" width="3.1640625" bestFit="1" customWidth="1"/>
    <col min="2" max="2" width="12" bestFit="1" customWidth="1"/>
    <col min="3" max="3" width="9" bestFit="1" customWidth="1"/>
    <col min="4" max="4" width="15" bestFit="1" customWidth="1"/>
    <col min="5" max="5" width="21.83203125" bestFit="1" customWidth="1"/>
    <col min="6" max="6" width="13.6640625" bestFit="1" customWidth="1"/>
    <col min="7" max="7" width="12.83203125" bestFit="1" customWidth="1"/>
    <col min="8" max="8" width="20.83203125" bestFit="1" customWidth="1"/>
    <col min="9" max="9" width="15" bestFit="1" customWidth="1"/>
    <col min="10" max="10" width="6.1640625" bestFit="1" customWidth="1"/>
    <col min="11" max="11" width="8.1640625" bestFit="1" customWidth="1"/>
  </cols>
  <sheetData>
    <row r="2" spans="1:11" x14ac:dyDescent="0.2">
      <c r="B2" t="s">
        <v>0</v>
      </c>
      <c r="C2" t="s">
        <v>47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1</v>
      </c>
      <c r="K2" t="s">
        <v>59</v>
      </c>
    </row>
    <row r="3" spans="1:11" x14ac:dyDescent="0.2">
      <c r="A3">
        <v>19</v>
      </c>
      <c r="B3" t="s">
        <v>10</v>
      </c>
      <c r="C3" t="s">
        <v>39</v>
      </c>
      <c r="D3">
        <v>2</v>
      </c>
      <c r="E3">
        <v>2</v>
      </c>
      <c r="F3">
        <v>1.75</v>
      </c>
      <c r="G3">
        <v>1.25</v>
      </c>
      <c r="H3">
        <v>0.5</v>
      </c>
      <c r="I3">
        <v>0</v>
      </c>
      <c r="J3">
        <f t="shared" ref="J3:J13" si="0">SUM(D3:I3)</f>
        <v>7.5</v>
      </c>
      <c r="K3" s="2">
        <f t="shared" ref="K3:K13" si="1">J3/10</f>
        <v>0.75</v>
      </c>
    </row>
    <row r="4" spans="1:11" x14ac:dyDescent="0.2">
      <c r="A4">
        <v>7</v>
      </c>
      <c r="B4" t="s">
        <v>7</v>
      </c>
      <c r="C4" t="s">
        <v>39</v>
      </c>
      <c r="D4">
        <v>1.75</v>
      </c>
      <c r="E4">
        <v>0</v>
      </c>
      <c r="F4">
        <v>2</v>
      </c>
      <c r="G4">
        <v>0.25</v>
      </c>
      <c r="H4">
        <v>0</v>
      </c>
      <c r="I4">
        <v>0</v>
      </c>
      <c r="J4">
        <f t="shared" si="0"/>
        <v>4</v>
      </c>
      <c r="K4" s="2">
        <f t="shared" si="1"/>
        <v>0.4</v>
      </c>
    </row>
    <row r="5" spans="1:11" x14ac:dyDescent="0.2">
      <c r="A5">
        <v>3</v>
      </c>
      <c r="B5" t="s">
        <v>3</v>
      </c>
      <c r="C5" t="s">
        <v>39</v>
      </c>
      <c r="D5">
        <v>1.5</v>
      </c>
      <c r="E5">
        <v>0</v>
      </c>
      <c r="F5">
        <v>2</v>
      </c>
      <c r="G5">
        <v>1.25</v>
      </c>
      <c r="H5">
        <v>1.75</v>
      </c>
      <c r="I5">
        <v>1.75</v>
      </c>
      <c r="J5">
        <f t="shared" si="0"/>
        <v>8.25</v>
      </c>
      <c r="K5" s="2">
        <f t="shared" si="1"/>
        <v>0.82499999999999996</v>
      </c>
    </row>
    <row r="6" spans="1:11" x14ac:dyDescent="0.2">
      <c r="A6">
        <v>12</v>
      </c>
      <c r="B6" t="s">
        <v>14</v>
      </c>
      <c r="C6" t="s">
        <v>39</v>
      </c>
      <c r="D6">
        <v>0.25</v>
      </c>
      <c r="E6">
        <v>0.5</v>
      </c>
      <c r="F6">
        <v>2</v>
      </c>
      <c r="G6">
        <v>0</v>
      </c>
      <c r="H6">
        <v>1</v>
      </c>
      <c r="I6">
        <v>0</v>
      </c>
      <c r="J6">
        <f t="shared" si="0"/>
        <v>3.75</v>
      </c>
      <c r="K6" s="2">
        <f t="shared" si="1"/>
        <v>0.375</v>
      </c>
    </row>
    <row r="7" spans="1:11" x14ac:dyDescent="0.2">
      <c r="A7">
        <v>18</v>
      </c>
      <c r="B7" t="s">
        <v>11</v>
      </c>
      <c r="C7" t="s">
        <v>39</v>
      </c>
      <c r="D7">
        <v>1.75</v>
      </c>
      <c r="E7">
        <v>2</v>
      </c>
      <c r="F7">
        <v>2</v>
      </c>
      <c r="G7">
        <v>0.25</v>
      </c>
      <c r="H7">
        <v>0.5</v>
      </c>
      <c r="I7">
        <v>1</v>
      </c>
      <c r="J7">
        <f t="shared" si="0"/>
        <v>7.5</v>
      </c>
      <c r="K7" s="2">
        <f t="shared" si="1"/>
        <v>0.75</v>
      </c>
    </row>
    <row r="8" spans="1:11" x14ac:dyDescent="0.2">
      <c r="A8">
        <v>2</v>
      </c>
      <c r="B8" t="s">
        <v>8</v>
      </c>
      <c r="C8" t="s">
        <v>38</v>
      </c>
      <c r="D8">
        <v>0.5</v>
      </c>
      <c r="E8">
        <v>1.5</v>
      </c>
      <c r="F8">
        <v>1.5</v>
      </c>
      <c r="G8">
        <v>0.75</v>
      </c>
      <c r="H8">
        <v>0.5</v>
      </c>
      <c r="I8">
        <v>1</v>
      </c>
      <c r="J8">
        <f t="shared" si="0"/>
        <v>5.75</v>
      </c>
      <c r="K8" s="2">
        <f t="shared" si="1"/>
        <v>0.57499999999999996</v>
      </c>
    </row>
    <row r="9" spans="1:11" x14ac:dyDescent="0.2">
      <c r="A9">
        <v>15</v>
      </c>
      <c r="B9" t="s">
        <v>12</v>
      </c>
      <c r="C9" t="s">
        <v>2</v>
      </c>
      <c r="D9">
        <v>2</v>
      </c>
      <c r="E9">
        <v>0</v>
      </c>
      <c r="F9">
        <v>1.5</v>
      </c>
      <c r="G9">
        <v>1.5</v>
      </c>
      <c r="H9">
        <v>0.5</v>
      </c>
      <c r="I9">
        <v>2</v>
      </c>
      <c r="J9">
        <f t="shared" si="0"/>
        <v>7.5</v>
      </c>
      <c r="K9" s="2">
        <f t="shared" si="1"/>
        <v>0.75</v>
      </c>
    </row>
    <row r="10" spans="1:11" x14ac:dyDescent="0.2">
      <c r="A10">
        <v>6</v>
      </c>
      <c r="B10" t="s">
        <v>20</v>
      </c>
      <c r="C10" t="s">
        <v>2</v>
      </c>
      <c r="D10">
        <v>0.25</v>
      </c>
      <c r="E10">
        <v>0</v>
      </c>
      <c r="F10">
        <v>2</v>
      </c>
      <c r="G10">
        <v>1.5</v>
      </c>
      <c r="H10">
        <v>0.5</v>
      </c>
      <c r="I10">
        <v>2</v>
      </c>
      <c r="J10">
        <f t="shared" si="0"/>
        <v>6.25</v>
      </c>
      <c r="K10" s="2">
        <f t="shared" si="1"/>
        <v>0.625</v>
      </c>
    </row>
    <row r="11" spans="1:11" x14ac:dyDescent="0.2">
      <c r="A11">
        <v>16</v>
      </c>
      <c r="B11" t="s">
        <v>48</v>
      </c>
      <c r="C11" t="s">
        <v>45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f t="shared" si="0"/>
        <v>12</v>
      </c>
      <c r="K11" s="2">
        <f t="shared" si="1"/>
        <v>1.2</v>
      </c>
    </row>
    <row r="12" spans="1:11" x14ac:dyDescent="0.2">
      <c r="A12">
        <v>14</v>
      </c>
      <c r="B12" t="s">
        <v>15</v>
      </c>
      <c r="C12" t="s">
        <v>45</v>
      </c>
      <c r="D12">
        <v>0</v>
      </c>
      <c r="E12">
        <v>0</v>
      </c>
      <c r="F12">
        <v>1.5</v>
      </c>
      <c r="G12">
        <v>0.5</v>
      </c>
      <c r="H12">
        <v>0</v>
      </c>
      <c r="I12">
        <v>0</v>
      </c>
      <c r="J12">
        <f t="shared" si="0"/>
        <v>2</v>
      </c>
      <c r="K12" s="2">
        <f t="shared" si="1"/>
        <v>0.2</v>
      </c>
    </row>
    <row r="13" spans="1:11" x14ac:dyDescent="0.2">
      <c r="A13">
        <v>13</v>
      </c>
      <c r="B13" t="s">
        <v>19</v>
      </c>
      <c r="C13" t="s">
        <v>45</v>
      </c>
      <c r="D13">
        <v>0.25</v>
      </c>
      <c r="E13">
        <v>0</v>
      </c>
      <c r="F13">
        <v>1.5</v>
      </c>
      <c r="G13">
        <v>0.25</v>
      </c>
      <c r="H13">
        <v>0</v>
      </c>
      <c r="I13">
        <v>0</v>
      </c>
      <c r="J13">
        <f t="shared" si="0"/>
        <v>2</v>
      </c>
      <c r="K13" s="2">
        <f t="shared" si="1"/>
        <v>0.2</v>
      </c>
    </row>
    <row r="14" spans="1:11" x14ac:dyDescent="0.2">
      <c r="A14">
        <v>20</v>
      </c>
      <c r="B14" t="s">
        <v>58</v>
      </c>
      <c r="C14" t="s">
        <v>46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s="2"/>
    </row>
    <row r="15" spans="1:11" x14ac:dyDescent="0.2">
      <c r="A15">
        <v>17</v>
      </c>
      <c r="B15" t="s">
        <v>5</v>
      </c>
      <c r="C15" t="s">
        <v>46</v>
      </c>
      <c r="D15">
        <v>1.75</v>
      </c>
      <c r="E15">
        <v>0</v>
      </c>
      <c r="F15">
        <v>2</v>
      </c>
      <c r="G15">
        <v>1.5</v>
      </c>
      <c r="H15">
        <v>2</v>
      </c>
      <c r="I15">
        <v>1.5</v>
      </c>
      <c r="J15">
        <f>SUM(D15:I15)</f>
        <v>8.75</v>
      </c>
      <c r="K15" s="2">
        <f>J15/10</f>
        <v>0.875</v>
      </c>
    </row>
    <row r="16" spans="1:11" x14ac:dyDescent="0.2">
      <c r="A16">
        <v>11</v>
      </c>
      <c r="B16" t="s">
        <v>13</v>
      </c>
      <c r="C16" t="s">
        <v>44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s="2"/>
    </row>
    <row r="17" spans="1:11" x14ac:dyDescent="0.2">
      <c r="A17">
        <v>5</v>
      </c>
      <c r="B17" t="s">
        <v>4</v>
      </c>
      <c r="C17" t="s">
        <v>37</v>
      </c>
      <c r="D17">
        <v>2</v>
      </c>
      <c r="E17">
        <v>0</v>
      </c>
      <c r="F17">
        <v>1.5</v>
      </c>
      <c r="G17">
        <v>0.5</v>
      </c>
      <c r="H17">
        <v>1.5</v>
      </c>
      <c r="I17">
        <v>1.5</v>
      </c>
      <c r="J17">
        <f>SUM(D17:I17)</f>
        <v>7</v>
      </c>
      <c r="K17" s="2">
        <f>J17/10</f>
        <v>0.7</v>
      </c>
    </row>
    <row r="18" spans="1:11" x14ac:dyDescent="0.2">
      <c r="A18">
        <v>1</v>
      </c>
      <c r="B18" t="s">
        <v>17</v>
      </c>
      <c r="C18" t="s">
        <v>37</v>
      </c>
      <c r="D18">
        <v>0</v>
      </c>
      <c r="E18">
        <v>0.25</v>
      </c>
      <c r="F18">
        <v>1.75</v>
      </c>
      <c r="G18">
        <v>0</v>
      </c>
      <c r="H18">
        <v>0.25</v>
      </c>
      <c r="I18">
        <v>0</v>
      </c>
      <c r="J18">
        <f>SUM(D18:I18)</f>
        <v>2.25</v>
      </c>
      <c r="K18" s="2">
        <f>J18/10</f>
        <v>0.22500000000000001</v>
      </c>
    </row>
    <row r="19" spans="1:11" x14ac:dyDescent="0.2">
      <c r="A19">
        <v>9</v>
      </c>
      <c r="B19" t="s">
        <v>9</v>
      </c>
      <c r="C19" t="s">
        <v>42</v>
      </c>
      <c r="D19">
        <v>0.5</v>
      </c>
      <c r="E19">
        <v>0</v>
      </c>
      <c r="F19">
        <v>1.5</v>
      </c>
      <c r="G19">
        <v>1.25</v>
      </c>
      <c r="H19">
        <v>1.5</v>
      </c>
      <c r="I19">
        <v>2</v>
      </c>
      <c r="J19">
        <f>SUM(D19:I19)</f>
        <v>6.75</v>
      </c>
      <c r="K19" s="2">
        <f>J19/10</f>
        <v>0.67500000000000004</v>
      </c>
    </row>
    <row r="20" spans="1:11" x14ac:dyDescent="0.2">
      <c r="A20">
        <v>10</v>
      </c>
      <c r="B20" t="s">
        <v>6</v>
      </c>
      <c r="C20" t="s">
        <v>43</v>
      </c>
      <c r="D20">
        <v>0.5</v>
      </c>
      <c r="E20">
        <v>0.5</v>
      </c>
      <c r="F20">
        <v>2</v>
      </c>
      <c r="G20">
        <v>0</v>
      </c>
      <c r="H20">
        <v>2</v>
      </c>
      <c r="I20">
        <v>1</v>
      </c>
      <c r="J20">
        <f>SUM(D20:I20)</f>
        <v>6</v>
      </c>
      <c r="K20" s="2">
        <f>J20/10</f>
        <v>0.6</v>
      </c>
    </row>
    <row r="21" spans="1:11" x14ac:dyDescent="0.2">
      <c r="A21">
        <v>8</v>
      </c>
      <c r="B21" t="s">
        <v>18</v>
      </c>
      <c r="C21" t="s">
        <v>41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s="2"/>
    </row>
    <row r="22" spans="1:11" x14ac:dyDescent="0.2">
      <c r="A22">
        <v>4</v>
      </c>
      <c r="B22" t="s">
        <v>16</v>
      </c>
      <c r="C22" t="s">
        <v>40</v>
      </c>
      <c r="D22">
        <v>0</v>
      </c>
      <c r="E22">
        <v>0</v>
      </c>
      <c r="F22">
        <v>1.5</v>
      </c>
      <c r="G22">
        <v>0</v>
      </c>
      <c r="H22">
        <v>0</v>
      </c>
      <c r="I22">
        <v>0.5</v>
      </c>
      <c r="J22">
        <f>SUM(D22:I22)</f>
        <v>2</v>
      </c>
      <c r="K22" s="2">
        <f>J22/10</f>
        <v>0.2</v>
      </c>
    </row>
    <row r="23" spans="1:11" x14ac:dyDescent="0.2">
      <c r="B23" t="s">
        <v>57</v>
      </c>
      <c r="D23">
        <f t="shared" ref="D23:J23" si="2">SUM(D3:D22)</f>
        <v>17</v>
      </c>
      <c r="E23">
        <f t="shared" si="2"/>
        <v>8.75</v>
      </c>
      <c r="F23">
        <f t="shared" si="2"/>
        <v>30</v>
      </c>
      <c r="G23">
        <f t="shared" si="2"/>
        <v>12.75</v>
      </c>
      <c r="H23">
        <f t="shared" si="2"/>
        <v>14.5</v>
      </c>
      <c r="I23">
        <f t="shared" si="2"/>
        <v>16.25</v>
      </c>
      <c r="J23">
        <f t="shared" si="2"/>
        <v>99.25</v>
      </c>
      <c r="K23" s="2"/>
    </row>
    <row r="24" spans="1:11" x14ac:dyDescent="0.2">
      <c r="D24" s="1">
        <f t="shared" ref="D24:I24" si="3">SUM(D3:D22)/34</f>
        <v>0.5</v>
      </c>
      <c r="E24" s="1">
        <f t="shared" si="3"/>
        <v>0.25735294117647056</v>
      </c>
      <c r="F24" s="1">
        <f t="shared" si="3"/>
        <v>0.88235294117647056</v>
      </c>
      <c r="G24" s="1">
        <f t="shared" si="3"/>
        <v>0.375</v>
      </c>
      <c r="H24" s="1">
        <f t="shared" si="3"/>
        <v>0.4264705882352941</v>
      </c>
      <c r="I24" s="1">
        <f t="shared" si="3"/>
        <v>0.47794117647058826</v>
      </c>
      <c r="J24" s="1">
        <f>SUM(J3:J22)/(34*6)</f>
        <v>0.48651960784313725</v>
      </c>
      <c r="K24" s="2"/>
    </row>
  </sheetData>
  <sortState xmlns:xlrd2="http://schemas.microsoft.com/office/spreadsheetml/2017/richdata2" ref="A3:K24">
    <sortCondition ref="C3:C24"/>
    <sortCondition ref="B3:B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0603-E249-6C49-AFDF-564C1138E589}">
  <dimension ref="A1:O24"/>
  <sheetViews>
    <sheetView tabSelected="1" workbookViewId="0">
      <selection activeCell="I35" sqref="I35"/>
    </sheetView>
  </sheetViews>
  <sheetFormatPr baseColWidth="10" defaultColWidth="12.33203125" defaultRowHeight="16" x14ac:dyDescent="0.2"/>
  <cols>
    <col min="1" max="1" width="3.1640625" bestFit="1" customWidth="1"/>
    <col min="2" max="2" width="12" bestFit="1" customWidth="1"/>
    <col min="3" max="3" width="9" bestFit="1" customWidth="1"/>
    <col min="4" max="4" width="15.33203125" bestFit="1" customWidth="1"/>
    <col min="5" max="5" width="19.83203125" bestFit="1" customWidth="1"/>
    <col min="6" max="6" width="19.6640625" bestFit="1" customWidth="1"/>
    <col min="7" max="7" width="22.83203125" bestFit="1" customWidth="1"/>
    <col min="8" max="8" width="19.6640625" bestFit="1" customWidth="1"/>
    <col min="9" max="9" width="18" bestFit="1" customWidth="1"/>
    <col min="10" max="10" width="16.83203125" bestFit="1" customWidth="1"/>
    <col min="11" max="11" width="18.1640625" bestFit="1" customWidth="1"/>
    <col min="12" max="12" width="18.6640625" bestFit="1" customWidth="1"/>
    <col min="13" max="13" width="12.1640625" bestFit="1" customWidth="1"/>
    <col min="14" max="14" width="5.1640625" bestFit="1" customWidth="1"/>
  </cols>
  <sheetData>
    <row r="1" spans="1:15" x14ac:dyDescent="0.2">
      <c r="D1" t="s">
        <v>21</v>
      </c>
      <c r="E1" t="s">
        <v>22</v>
      </c>
      <c r="H1" t="s">
        <v>23</v>
      </c>
      <c r="J1" t="s">
        <v>24</v>
      </c>
      <c r="M1" t="s">
        <v>25</v>
      </c>
    </row>
    <row r="2" spans="1:15" x14ac:dyDescent="0.2">
      <c r="B2" t="s">
        <v>0</v>
      </c>
      <c r="C2" t="s">
        <v>47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1</v>
      </c>
      <c r="O2" t="s">
        <v>59</v>
      </c>
    </row>
    <row r="3" spans="1:15" x14ac:dyDescent="0.2">
      <c r="A3">
        <v>19</v>
      </c>
      <c r="B3" t="s">
        <v>10</v>
      </c>
      <c r="C3" t="s">
        <v>39</v>
      </c>
      <c r="D3">
        <v>1</v>
      </c>
      <c r="E3">
        <v>1</v>
      </c>
      <c r="F3">
        <v>1</v>
      </c>
      <c r="G3">
        <v>1</v>
      </c>
      <c r="H3">
        <v>1</v>
      </c>
      <c r="I3">
        <v>0.75</v>
      </c>
      <c r="J3">
        <v>1</v>
      </c>
      <c r="K3">
        <v>1</v>
      </c>
      <c r="L3">
        <v>1</v>
      </c>
      <c r="M3">
        <v>1</v>
      </c>
      <c r="N3">
        <v>9.75</v>
      </c>
      <c r="O3" s="2">
        <f>N3/10</f>
        <v>0.97499999999999998</v>
      </c>
    </row>
    <row r="4" spans="1:15" x14ac:dyDescent="0.2">
      <c r="A4">
        <v>7</v>
      </c>
      <c r="B4" t="s">
        <v>7</v>
      </c>
      <c r="C4" t="s">
        <v>39</v>
      </c>
      <c r="D4">
        <v>1</v>
      </c>
      <c r="E4">
        <v>1</v>
      </c>
      <c r="F4">
        <v>0.5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5.5</v>
      </c>
      <c r="O4" s="2">
        <f t="shared" ref="O4:O22" si="0">N4/10</f>
        <v>0.55000000000000004</v>
      </c>
    </row>
    <row r="5" spans="1:15" x14ac:dyDescent="0.2">
      <c r="A5">
        <v>3</v>
      </c>
      <c r="B5" t="s">
        <v>3</v>
      </c>
      <c r="C5" t="s">
        <v>39</v>
      </c>
      <c r="D5">
        <v>0.25</v>
      </c>
      <c r="E5">
        <v>0.5</v>
      </c>
      <c r="F5">
        <v>0.25</v>
      </c>
      <c r="G5">
        <v>0</v>
      </c>
      <c r="H5">
        <v>1</v>
      </c>
      <c r="I5">
        <v>0.5</v>
      </c>
      <c r="J5">
        <v>0</v>
      </c>
      <c r="K5">
        <v>0</v>
      </c>
      <c r="L5">
        <v>0</v>
      </c>
      <c r="M5">
        <v>0</v>
      </c>
      <c r="N5">
        <v>2.5</v>
      </c>
      <c r="O5" s="2">
        <f t="shared" si="0"/>
        <v>0.25</v>
      </c>
    </row>
    <row r="6" spans="1:15" x14ac:dyDescent="0.2">
      <c r="A6">
        <v>12</v>
      </c>
      <c r="B6" t="s">
        <v>14</v>
      </c>
      <c r="C6" t="s">
        <v>39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0.5</v>
      </c>
      <c r="K6">
        <v>0.5</v>
      </c>
      <c r="L6">
        <v>1</v>
      </c>
      <c r="M6">
        <v>0.75</v>
      </c>
      <c r="N6">
        <v>6.75</v>
      </c>
      <c r="O6" s="2">
        <f t="shared" si="0"/>
        <v>0.67500000000000004</v>
      </c>
    </row>
    <row r="7" spans="1:15" x14ac:dyDescent="0.2">
      <c r="A7">
        <v>18</v>
      </c>
      <c r="B7" t="s">
        <v>11</v>
      </c>
      <c r="C7" t="s">
        <v>39</v>
      </c>
      <c r="D7">
        <v>1</v>
      </c>
      <c r="E7">
        <v>1</v>
      </c>
      <c r="F7">
        <v>1</v>
      </c>
      <c r="G7">
        <v>1</v>
      </c>
      <c r="H7">
        <v>1</v>
      </c>
      <c r="I7">
        <v>0.25</v>
      </c>
      <c r="J7">
        <v>1</v>
      </c>
      <c r="K7">
        <v>1</v>
      </c>
      <c r="L7">
        <v>1</v>
      </c>
      <c r="M7">
        <v>1</v>
      </c>
      <c r="N7">
        <v>9.75</v>
      </c>
      <c r="O7" s="2">
        <f t="shared" si="0"/>
        <v>0.97499999999999998</v>
      </c>
    </row>
    <row r="8" spans="1:15" x14ac:dyDescent="0.2">
      <c r="A8">
        <v>2</v>
      </c>
      <c r="B8" t="s">
        <v>8</v>
      </c>
      <c r="C8" t="s">
        <v>38</v>
      </c>
      <c r="D8">
        <v>0.5</v>
      </c>
      <c r="E8">
        <v>1</v>
      </c>
      <c r="F8">
        <v>0.5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 s="2">
        <f t="shared" si="0"/>
        <v>0.2</v>
      </c>
    </row>
    <row r="9" spans="1:15" x14ac:dyDescent="0.2">
      <c r="A9">
        <v>15</v>
      </c>
      <c r="B9" t="s">
        <v>12</v>
      </c>
      <c r="C9" t="s">
        <v>2</v>
      </c>
      <c r="D9">
        <v>1</v>
      </c>
      <c r="E9">
        <v>0.5</v>
      </c>
      <c r="F9">
        <v>1</v>
      </c>
      <c r="G9">
        <v>1</v>
      </c>
      <c r="H9">
        <v>1</v>
      </c>
      <c r="I9">
        <v>0.75</v>
      </c>
      <c r="J9">
        <v>1</v>
      </c>
      <c r="K9">
        <v>1</v>
      </c>
      <c r="L9">
        <v>1</v>
      </c>
      <c r="M9">
        <v>0.75</v>
      </c>
      <c r="N9">
        <v>9</v>
      </c>
      <c r="O9" s="2">
        <f t="shared" si="0"/>
        <v>0.9</v>
      </c>
    </row>
    <row r="10" spans="1:15" x14ac:dyDescent="0.2">
      <c r="A10">
        <v>6</v>
      </c>
      <c r="B10" t="s">
        <v>20</v>
      </c>
      <c r="C10" t="s">
        <v>2</v>
      </c>
      <c r="D10">
        <v>0</v>
      </c>
      <c r="E10">
        <v>0.5</v>
      </c>
      <c r="F10">
        <v>0</v>
      </c>
      <c r="G10">
        <v>0.5</v>
      </c>
      <c r="H10">
        <v>0</v>
      </c>
      <c r="I10">
        <v>1</v>
      </c>
      <c r="J10">
        <v>1</v>
      </c>
      <c r="K10">
        <v>0.5</v>
      </c>
      <c r="L10">
        <v>0</v>
      </c>
      <c r="M10">
        <v>0</v>
      </c>
      <c r="N10">
        <v>4.5</v>
      </c>
      <c r="O10" s="2">
        <f t="shared" si="0"/>
        <v>0.45</v>
      </c>
    </row>
    <row r="11" spans="1:15" x14ac:dyDescent="0.2">
      <c r="A11">
        <v>16</v>
      </c>
      <c r="B11" t="s">
        <v>48</v>
      </c>
      <c r="C11" t="s">
        <v>45</v>
      </c>
      <c r="D11">
        <v>0.75</v>
      </c>
      <c r="E11">
        <v>1</v>
      </c>
      <c r="F11">
        <v>1</v>
      </c>
      <c r="G11">
        <v>0.75</v>
      </c>
      <c r="H11">
        <v>1</v>
      </c>
      <c r="I11">
        <v>0.75</v>
      </c>
      <c r="J11">
        <v>1</v>
      </c>
      <c r="K11">
        <v>0.75</v>
      </c>
      <c r="L11">
        <v>1</v>
      </c>
      <c r="M11">
        <v>1</v>
      </c>
      <c r="N11">
        <v>9</v>
      </c>
      <c r="O11" s="2">
        <f t="shared" si="0"/>
        <v>0.9</v>
      </c>
    </row>
    <row r="12" spans="1:15" x14ac:dyDescent="0.2">
      <c r="A12">
        <v>14</v>
      </c>
      <c r="B12" t="s">
        <v>15</v>
      </c>
      <c r="C12" t="s">
        <v>45</v>
      </c>
      <c r="D12">
        <v>1</v>
      </c>
      <c r="E12">
        <v>1</v>
      </c>
      <c r="F12">
        <v>0.5</v>
      </c>
      <c r="G12">
        <v>0.5</v>
      </c>
      <c r="H12">
        <v>1</v>
      </c>
      <c r="I12">
        <v>0.75</v>
      </c>
      <c r="J12">
        <v>1</v>
      </c>
      <c r="K12">
        <v>1</v>
      </c>
      <c r="L12">
        <v>1</v>
      </c>
      <c r="M12">
        <v>1</v>
      </c>
      <c r="N12">
        <v>8.75</v>
      </c>
      <c r="O12" s="2">
        <f t="shared" si="0"/>
        <v>0.875</v>
      </c>
    </row>
    <row r="13" spans="1:15" x14ac:dyDescent="0.2">
      <c r="A13">
        <v>13</v>
      </c>
      <c r="B13" t="s">
        <v>19</v>
      </c>
      <c r="C13" t="s">
        <v>45</v>
      </c>
      <c r="D13">
        <v>0.25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8.25</v>
      </c>
      <c r="O13" s="2">
        <f t="shared" si="0"/>
        <v>0.82499999999999996</v>
      </c>
    </row>
    <row r="14" spans="1:15" x14ac:dyDescent="0.2">
      <c r="A14">
        <v>20</v>
      </c>
      <c r="B14" t="s">
        <v>58</v>
      </c>
      <c r="C14" t="s">
        <v>46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s="2" t="e">
        <f t="shared" si="0"/>
        <v>#VALUE!</v>
      </c>
    </row>
    <row r="15" spans="1:15" x14ac:dyDescent="0.2">
      <c r="A15">
        <v>17</v>
      </c>
      <c r="B15" t="s">
        <v>5</v>
      </c>
      <c r="C15" t="s">
        <v>46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0.5</v>
      </c>
      <c r="N15">
        <v>9.5</v>
      </c>
      <c r="O15" s="2">
        <f t="shared" si="0"/>
        <v>0.95</v>
      </c>
    </row>
    <row r="16" spans="1:15" x14ac:dyDescent="0.2">
      <c r="A16">
        <v>11</v>
      </c>
      <c r="B16" t="s">
        <v>13</v>
      </c>
      <c r="C16" t="s">
        <v>44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0.25</v>
      </c>
      <c r="N16">
        <v>6.25</v>
      </c>
      <c r="O16" s="2">
        <f t="shared" si="0"/>
        <v>0.625</v>
      </c>
    </row>
    <row r="17" spans="1:15" x14ac:dyDescent="0.2">
      <c r="A17">
        <v>5</v>
      </c>
      <c r="B17" t="s">
        <v>4</v>
      </c>
      <c r="C17" t="s">
        <v>37</v>
      </c>
      <c r="D17">
        <v>0</v>
      </c>
      <c r="E17">
        <v>0.5</v>
      </c>
      <c r="F17">
        <v>0</v>
      </c>
      <c r="G17">
        <v>0</v>
      </c>
      <c r="H17">
        <v>0</v>
      </c>
      <c r="I17">
        <v>0.5</v>
      </c>
      <c r="J17">
        <v>1</v>
      </c>
      <c r="K17">
        <v>0.5</v>
      </c>
      <c r="L17">
        <v>1</v>
      </c>
      <c r="M17">
        <v>0</v>
      </c>
      <c r="N17">
        <v>3.5</v>
      </c>
      <c r="O17" s="2">
        <f t="shared" si="0"/>
        <v>0.35</v>
      </c>
    </row>
    <row r="18" spans="1:15" x14ac:dyDescent="0.2">
      <c r="A18">
        <v>1</v>
      </c>
      <c r="B18" t="s">
        <v>17</v>
      </c>
      <c r="C18" t="s">
        <v>37</v>
      </c>
      <c r="D18">
        <v>0.25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1.25</v>
      </c>
      <c r="O18" s="2">
        <f t="shared" si="0"/>
        <v>0.125</v>
      </c>
    </row>
    <row r="19" spans="1:15" x14ac:dyDescent="0.2">
      <c r="A19">
        <v>9</v>
      </c>
      <c r="B19" t="s">
        <v>9</v>
      </c>
      <c r="C19" t="s">
        <v>42</v>
      </c>
      <c r="D19">
        <v>0.75</v>
      </c>
      <c r="E19">
        <v>1</v>
      </c>
      <c r="F19">
        <v>0</v>
      </c>
      <c r="G19">
        <v>0</v>
      </c>
      <c r="H19">
        <v>0</v>
      </c>
      <c r="I19">
        <v>0.75</v>
      </c>
      <c r="J19">
        <v>1</v>
      </c>
      <c r="K19">
        <v>0.5</v>
      </c>
      <c r="L19">
        <v>1</v>
      </c>
      <c r="M19">
        <v>0.75</v>
      </c>
      <c r="N19">
        <v>5.75</v>
      </c>
      <c r="O19" s="2">
        <f t="shared" si="0"/>
        <v>0.57499999999999996</v>
      </c>
    </row>
    <row r="20" spans="1:15" x14ac:dyDescent="0.2">
      <c r="A20">
        <v>10</v>
      </c>
      <c r="B20" t="s">
        <v>6</v>
      </c>
      <c r="C20" t="s">
        <v>43</v>
      </c>
      <c r="D20">
        <v>1</v>
      </c>
      <c r="E20">
        <v>0.5</v>
      </c>
      <c r="F20">
        <v>0.5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6</v>
      </c>
      <c r="O20" s="2">
        <f t="shared" si="0"/>
        <v>0.6</v>
      </c>
    </row>
    <row r="21" spans="1:15" x14ac:dyDescent="0.2">
      <c r="A21">
        <v>8</v>
      </c>
      <c r="B21" t="s">
        <v>18</v>
      </c>
      <c r="C21" t="s">
        <v>41</v>
      </c>
      <c r="D21">
        <v>1</v>
      </c>
      <c r="E21">
        <v>0.5</v>
      </c>
      <c r="F21">
        <v>1</v>
      </c>
      <c r="G21">
        <v>0.5</v>
      </c>
      <c r="H21">
        <v>1</v>
      </c>
      <c r="I21">
        <v>0.5</v>
      </c>
      <c r="J21">
        <v>0</v>
      </c>
      <c r="K21">
        <v>0.5</v>
      </c>
      <c r="L21">
        <v>0.5</v>
      </c>
      <c r="M21">
        <v>0</v>
      </c>
      <c r="N21">
        <v>5.5</v>
      </c>
      <c r="O21" s="2">
        <f t="shared" si="0"/>
        <v>0.55000000000000004</v>
      </c>
    </row>
    <row r="22" spans="1:15" x14ac:dyDescent="0.2">
      <c r="A22">
        <v>4</v>
      </c>
      <c r="B22" t="s">
        <v>16</v>
      </c>
      <c r="C22" t="s">
        <v>40</v>
      </c>
      <c r="D22">
        <v>0.25</v>
      </c>
      <c r="E22">
        <v>1</v>
      </c>
      <c r="F22">
        <v>0</v>
      </c>
      <c r="G22">
        <v>0</v>
      </c>
      <c r="H22">
        <v>0</v>
      </c>
      <c r="I22">
        <v>1</v>
      </c>
      <c r="J22">
        <v>0.5</v>
      </c>
      <c r="K22">
        <v>0</v>
      </c>
      <c r="L22">
        <v>0</v>
      </c>
      <c r="M22">
        <v>0</v>
      </c>
      <c r="N22">
        <v>3.25</v>
      </c>
      <c r="O22" s="2">
        <f t="shared" si="0"/>
        <v>0.32500000000000001</v>
      </c>
    </row>
    <row r="23" spans="1:15" x14ac:dyDescent="0.2">
      <c r="B23" t="s">
        <v>57</v>
      </c>
      <c r="D23">
        <f t="shared" ref="D23:M23" si="1">SUM(D3:D22)</f>
        <v>13</v>
      </c>
      <c r="E23">
        <f t="shared" si="1"/>
        <v>16</v>
      </c>
      <c r="F23">
        <f t="shared" si="1"/>
        <v>9.25</v>
      </c>
      <c r="G23">
        <f t="shared" si="1"/>
        <v>8.25</v>
      </c>
      <c r="H23">
        <f t="shared" si="1"/>
        <v>10</v>
      </c>
      <c r="I23">
        <f t="shared" si="1"/>
        <v>12.5</v>
      </c>
      <c r="J23">
        <f t="shared" si="1"/>
        <v>14</v>
      </c>
      <c r="K23">
        <f t="shared" si="1"/>
        <v>11.25</v>
      </c>
      <c r="L23">
        <f t="shared" si="1"/>
        <v>13.5</v>
      </c>
      <c r="M23">
        <f t="shared" si="1"/>
        <v>7</v>
      </c>
    </row>
    <row r="24" spans="1:15" x14ac:dyDescent="0.2">
      <c r="D24" s="1">
        <f t="shared" ref="D24:M24" si="2">D23/19</f>
        <v>0.68421052631578949</v>
      </c>
      <c r="E24" s="1">
        <f t="shared" si="2"/>
        <v>0.84210526315789469</v>
      </c>
      <c r="F24" s="1">
        <f t="shared" si="2"/>
        <v>0.48684210526315791</v>
      </c>
      <c r="G24" s="1">
        <f t="shared" si="2"/>
        <v>0.43421052631578949</v>
      </c>
      <c r="H24" s="1">
        <f t="shared" si="2"/>
        <v>0.52631578947368418</v>
      </c>
      <c r="I24" s="1">
        <f t="shared" si="2"/>
        <v>0.65789473684210531</v>
      </c>
      <c r="J24" s="1">
        <f t="shared" si="2"/>
        <v>0.73684210526315785</v>
      </c>
      <c r="K24" s="1">
        <f t="shared" si="2"/>
        <v>0.59210526315789469</v>
      </c>
      <c r="L24" s="1">
        <f t="shared" si="2"/>
        <v>0.71052631578947367</v>
      </c>
      <c r="M24" s="1">
        <f t="shared" si="2"/>
        <v>0.36842105263157893</v>
      </c>
    </row>
  </sheetData>
  <sortState xmlns:xlrd2="http://schemas.microsoft.com/office/spreadsheetml/2017/richdata2" ref="A3:N24">
    <sortCondition ref="C3:C24"/>
    <sortCondition ref="B3:B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1E1C-F588-7C4E-B050-53E91BB391E3}">
  <dimension ref="A1:M25"/>
  <sheetViews>
    <sheetView workbookViewId="0">
      <selection activeCell="C24" sqref="C24"/>
    </sheetView>
  </sheetViews>
  <sheetFormatPr baseColWidth="10" defaultColWidth="12" defaultRowHeight="16" x14ac:dyDescent="0.2"/>
  <cols>
    <col min="1" max="1" width="3.1640625" bestFit="1" customWidth="1"/>
    <col min="3" max="3" width="15.33203125" bestFit="1" customWidth="1"/>
    <col min="4" max="4" width="19.83203125" bestFit="1" customWidth="1"/>
    <col min="5" max="5" width="19.6640625" bestFit="1" customWidth="1"/>
    <col min="6" max="6" width="22.83203125" bestFit="1" customWidth="1"/>
    <col min="7" max="7" width="19.6640625" bestFit="1" customWidth="1"/>
    <col min="8" max="8" width="18" bestFit="1" customWidth="1"/>
    <col min="9" max="9" width="16.83203125" bestFit="1" customWidth="1"/>
    <col min="10" max="10" width="18.1640625" bestFit="1" customWidth="1"/>
    <col min="11" max="11" width="18.6640625" bestFit="1" customWidth="1"/>
    <col min="12" max="12" width="12.1640625" bestFit="1" customWidth="1"/>
    <col min="13" max="13" width="5.1640625" bestFit="1" customWidth="1"/>
  </cols>
  <sheetData>
    <row r="1" spans="1:13" x14ac:dyDescent="0.2">
      <c r="C1" t="s">
        <v>21</v>
      </c>
      <c r="D1" t="s">
        <v>22</v>
      </c>
      <c r="G1" t="s">
        <v>23</v>
      </c>
      <c r="I1" t="s">
        <v>24</v>
      </c>
      <c r="L1" t="s">
        <v>25</v>
      </c>
    </row>
    <row r="2" spans="1:13" x14ac:dyDescent="0.2">
      <c r="B2" t="s">
        <v>0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1</v>
      </c>
    </row>
    <row r="3" spans="1:13" x14ac:dyDescent="0.2">
      <c r="B3" t="s">
        <v>26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3" x14ac:dyDescent="0.2">
      <c r="A4">
        <v>1</v>
      </c>
      <c r="B4" t="s">
        <v>17</v>
      </c>
      <c r="C4">
        <v>0.25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1.25</v>
      </c>
    </row>
    <row r="5" spans="1:13" x14ac:dyDescent="0.2">
      <c r="A5">
        <v>2</v>
      </c>
      <c r="B5" t="s">
        <v>8</v>
      </c>
      <c r="C5">
        <v>0.5</v>
      </c>
      <c r="D5">
        <v>1</v>
      </c>
      <c r="E5">
        <v>0.5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</row>
    <row r="6" spans="1:13" x14ac:dyDescent="0.2">
      <c r="A6">
        <v>3</v>
      </c>
      <c r="B6" t="s">
        <v>3</v>
      </c>
      <c r="C6">
        <v>0.25</v>
      </c>
      <c r="D6">
        <v>0.5</v>
      </c>
      <c r="E6">
        <v>0.25</v>
      </c>
      <c r="F6">
        <v>0</v>
      </c>
      <c r="G6">
        <v>1</v>
      </c>
      <c r="H6">
        <v>0.5</v>
      </c>
      <c r="I6">
        <v>0</v>
      </c>
      <c r="J6">
        <v>0</v>
      </c>
      <c r="K6">
        <v>0</v>
      </c>
      <c r="L6">
        <v>0</v>
      </c>
      <c r="M6">
        <v>2.5</v>
      </c>
    </row>
    <row r="7" spans="1:13" x14ac:dyDescent="0.2">
      <c r="A7">
        <v>4</v>
      </c>
      <c r="B7" t="s">
        <v>16</v>
      </c>
      <c r="C7">
        <v>0.25</v>
      </c>
      <c r="D7">
        <v>1</v>
      </c>
      <c r="E7">
        <v>0</v>
      </c>
      <c r="F7">
        <v>0</v>
      </c>
      <c r="G7">
        <v>0</v>
      </c>
      <c r="H7">
        <v>1</v>
      </c>
      <c r="I7">
        <v>0.5</v>
      </c>
      <c r="J7">
        <v>0</v>
      </c>
      <c r="K7">
        <v>0</v>
      </c>
      <c r="L7">
        <v>0</v>
      </c>
      <c r="M7">
        <v>3.25</v>
      </c>
    </row>
    <row r="8" spans="1:13" x14ac:dyDescent="0.2">
      <c r="A8">
        <v>5</v>
      </c>
      <c r="B8" t="s">
        <v>4</v>
      </c>
      <c r="C8">
        <v>0</v>
      </c>
      <c r="D8">
        <v>0.5</v>
      </c>
      <c r="E8">
        <v>0</v>
      </c>
      <c r="F8">
        <v>0</v>
      </c>
      <c r="G8">
        <v>0</v>
      </c>
      <c r="H8">
        <v>0.5</v>
      </c>
      <c r="I8">
        <v>1</v>
      </c>
      <c r="J8">
        <v>0.5</v>
      </c>
      <c r="K8">
        <v>1</v>
      </c>
      <c r="L8">
        <v>0</v>
      </c>
      <c r="M8">
        <v>3.5</v>
      </c>
    </row>
    <row r="9" spans="1:13" x14ac:dyDescent="0.2">
      <c r="A9">
        <v>6</v>
      </c>
      <c r="B9" t="s">
        <v>20</v>
      </c>
      <c r="C9">
        <v>0</v>
      </c>
      <c r="D9">
        <v>0.5</v>
      </c>
      <c r="E9">
        <v>0</v>
      </c>
      <c r="F9">
        <v>0.5</v>
      </c>
      <c r="G9">
        <v>0</v>
      </c>
      <c r="H9">
        <v>1</v>
      </c>
      <c r="I9">
        <v>1</v>
      </c>
      <c r="J9">
        <v>0.5</v>
      </c>
      <c r="K9">
        <v>0</v>
      </c>
      <c r="L9">
        <v>0</v>
      </c>
      <c r="M9">
        <v>4.5</v>
      </c>
    </row>
    <row r="10" spans="1:13" x14ac:dyDescent="0.2">
      <c r="A10">
        <v>7</v>
      </c>
      <c r="B10" t="s">
        <v>7</v>
      </c>
      <c r="C10">
        <v>1</v>
      </c>
      <c r="D10">
        <v>1</v>
      </c>
      <c r="E10">
        <v>0.5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5.5</v>
      </c>
    </row>
    <row r="11" spans="1:13" x14ac:dyDescent="0.2">
      <c r="A11">
        <v>8</v>
      </c>
      <c r="B11" t="s">
        <v>18</v>
      </c>
      <c r="C11">
        <v>1</v>
      </c>
      <c r="D11">
        <v>0.5</v>
      </c>
      <c r="E11">
        <v>1</v>
      </c>
      <c r="F11">
        <v>0.5</v>
      </c>
      <c r="G11">
        <v>1</v>
      </c>
      <c r="H11">
        <v>0.5</v>
      </c>
      <c r="I11">
        <v>0</v>
      </c>
      <c r="J11">
        <v>0.5</v>
      </c>
      <c r="K11">
        <v>0.5</v>
      </c>
      <c r="L11">
        <v>0</v>
      </c>
      <c r="M11">
        <v>5.5</v>
      </c>
    </row>
    <row r="12" spans="1:13" x14ac:dyDescent="0.2">
      <c r="A12">
        <v>9</v>
      </c>
      <c r="B12" t="s">
        <v>9</v>
      </c>
      <c r="C12">
        <v>0.75</v>
      </c>
      <c r="D12">
        <v>1</v>
      </c>
      <c r="E12">
        <v>0</v>
      </c>
      <c r="F12">
        <v>0</v>
      </c>
      <c r="G12">
        <v>0</v>
      </c>
      <c r="H12">
        <v>0.75</v>
      </c>
      <c r="I12">
        <v>1</v>
      </c>
      <c r="J12">
        <v>0.5</v>
      </c>
      <c r="K12">
        <v>1</v>
      </c>
      <c r="L12">
        <v>0.75</v>
      </c>
      <c r="M12">
        <v>5.75</v>
      </c>
    </row>
    <row r="13" spans="1:13" x14ac:dyDescent="0.2">
      <c r="A13">
        <v>10</v>
      </c>
      <c r="B13" t="s">
        <v>6</v>
      </c>
      <c r="C13">
        <v>1</v>
      </c>
      <c r="D13">
        <v>0.5</v>
      </c>
      <c r="E13">
        <v>0.5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6</v>
      </c>
    </row>
    <row r="14" spans="1:13" x14ac:dyDescent="0.2">
      <c r="A14">
        <v>11</v>
      </c>
      <c r="B14" t="s">
        <v>13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0.25</v>
      </c>
      <c r="M14">
        <v>6.25</v>
      </c>
    </row>
    <row r="15" spans="1:13" x14ac:dyDescent="0.2">
      <c r="A15">
        <v>12</v>
      </c>
      <c r="B15" t="s">
        <v>14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0.5</v>
      </c>
      <c r="J15">
        <v>0.5</v>
      </c>
      <c r="K15">
        <v>1</v>
      </c>
      <c r="L15">
        <v>0.75</v>
      </c>
      <c r="M15">
        <v>6.75</v>
      </c>
    </row>
    <row r="16" spans="1:13" x14ac:dyDescent="0.2">
      <c r="A16">
        <v>13</v>
      </c>
      <c r="B16" t="s">
        <v>19</v>
      </c>
      <c r="C16">
        <v>0.25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8.25</v>
      </c>
    </row>
    <row r="17" spans="1:13" x14ac:dyDescent="0.2">
      <c r="A17">
        <v>14</v>
      </c>
      <c r="B17" t="s">
        <v>15</v>
      </c>
      <c r="C17">
        <v>1</v>
      </c>
      <c r="D17">
        <v>1</v>
      </c>
      <c r="E17">
        <v>0.5</v>
      </c>
      <c r="F17">
        <v>0.5</v>
      </c>
      <c r="G17">
        <v>1</v>
      </c>
      <c r="H17">
        <v>0.75</v>
      </c>
      <c r="I17">
        <v>1</v>
      </c>
      <c r="J17">
        <v>1</v>
      </c>
      <c r="K17">
        <v>1</v>
      </c>
      <c r="L17">
        <v>1</v>
      </c>
      <c r="M17">
        <v>8.75</v>
      </c>
    </row>
    <row r="18" spans="1:13" x14ac:dyDescent="0.2">
      <c r="A18">
        <v>15</v>
      </c>
      <c r="B18" t="s">
        <v>12</v>
      </c>
      <c r="C18">
        <v>1</v>
      </c>
      <c r="D18">
        <v>0.5</v>
      </c>
      <c r="E18">
        <v>1</v>
      </c>
      <c r="F18">
        <v>1</v>
      </c>
      <c r="G18">
        <v>1</v>
      </c>
      <c r="H18">
        <v>0.75</v>
      </c>
      <c r="I18">
        <v>1</v>
      </c>
      <c r="J18">
        <v>1</v>
      </c>
      <c r="K18">
        <v>1</v>
      </c>
      <c r="L18">
        <v>0.75</v>
      </c>
      <c r="M18">
        <v>9</v>
      </c>
    </row>
    <row r="19" spans="1:13" x14ac:dyDescent="0.2">
      <c r="A19">
        <v>16</v>
      </c>
      <c r="B19" t="s">
        <v>48</v>
      </c>
      <c r="C19">
        <v>0.75</v>
      </c>
      <c r="D19">
        <v>1</v>
      </c>
      <c r="E19">
        <v>1</v>
      </c>
      <c r="F19">
        <v>0.75</v>
      </c>
      <c r="G19">
        <v>1</v>
      </c>
      <c r="H19">
        <v>0.75</v>
      </c>
      <c r="I19">
        <v>1</v>
      </c>
      <c r="J19">
        <v>0.75</v>
      </c>
      <c r="K19">
        <v>1</v>
      </c>
      <c r="L19">
        <v>1</v>
      </c>
      <c r="M19">
        <v>9</v>
      </c>
    </row>
    <row r="20" spans="1:13" x14ac:dyDescent="0.2">
      <c r="A20">
        <v>17</v>
      </c>
      <c r="B20" t="s">
        <v>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0.5</v>
      </c>
      <c r="M20">
        <v>9.5</v>
      </c>
    </row>
    <row r="21" spans="1:13" x14ac:dyDescent="0.2">
      <c r="A21">
        <v>18</v>
      </c>
      <c r="B21" t="s">
        <v>11</v>
      </c>
      <c r="C21">
        <v>1</v>
      </c>
      <c r="D21">
        <v>1</v>
      </c>
      <c r="E21">
        <v>1</v>
      </c>
      <c r="F21">
        <v>1</v>
      </c>
      <c r="G21">
        <v>1</v>
      </c>
      <c r="H21">
        <v>0.25</v>
      </c>
      <c r="I21">
        <v>1</v>
      </c>
      <c r="J21">
        <v>1</v>
      </c>
      <c r="K21">
        <v>1</v>
      </c>
      <c r="L21">
        <v>1</v>
      </c>
      <c r="M21">
        <v>9.75</v>
      </c>
    </row>
    <row r="22" spans="1:13" x14ac:dyDescent="0.2">
      <c r="A22">
        <v>19</v>
      </c>
      <c r="B22" t="s">
        <v>10</v>
      </c>
      <c r="C22">
        <v>1</v>
      </c>
      <c r="D22">
        <v>1</v>
      </c>
      <c r="E22">
        <v>1</v>
      </c>
      <c r="F22">
        <v>1</v>
      </c>
      <c r="G22">
        <v>1</v>
      </c>
      <c r="H22">
        <v>0.75</v>
      </c>
      <c r="I22">
        <v>1</v>
      </c>
      <c r="J22">
        <v>1</v>
      </c>
      <c r="K22">
        <v>1</v>
      </c>
      <c r="L22">
        <v>1</v>
      </c>
      <c r="M22">
        <v>9.75</v>
      </c>
    </row>
    <row r="23" spans="1:13" x14ac:dyDescent="0.2">
      <c r="A23">
        <v>20</v>
      </c>
      <c r="B23" t="s">
        <v>56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>
        <f t="shared" ref="J23:L23" si="0">SUM(J4:J22)</f>
        <v>11.25</v>
      </c>
      <c r="K23">
        <f t="shared" si="0"/>
        <v>13.5</v>
      </c>
      <c r="L23">
        <f t="shared" si="0"/>
        <v>7</v>
      </c>
    </row>
    <row r="24" spans="1:13" x14ac:dyDescent="0.2">
      <c r="C24">
        <f t="shared" ref="C24:I24" si="1">SUM(C4:C22)</f>
        <v>13</v>
      </c>
      <c r="D24">
        <f t="shared" si="1"/>
        <v>16</v>
      </c>
      <c r="E24">
        <f t="shared" si="1"/>
        <v>9.25</v>
      </c>
      <c r="F24">
        <f t="shared" si="1"/>
        <v>8.25</v>
      </c>
      <c r="G24">
        <f t="shared" si="1"/>
        <v>10</v>
      </c>
      <c r="H24">
        <f t="shared" si="1"/>
        <v>12.5</v>
      </c>
      <c r="I24">
        <f t="shared" si="1"/>
        <v>14</v>
      </c>
      <c r="J24" s="1">
        <f t="shared" ref="D24:L25" si="2">J23/19</f>
        <v>0.59210526315789469</v>
      </c>
      <c r="K24" s="1">
        <f t="shared" si="2"/>
        <v>0.71052631578947367</v>
      </c>
      <c r="L24" s="1">
        <f t="shared" si="2"/>
        <v>0.36842105263157893</v>
      </c>
    </row>
    <row r="25" spans="1:13" x14ac:dyDescent="0.2">
      <c r="C25" s="1">
        <f>C24/19</f>
        <v>0.68421052631578949</v>
      </c>
      <c r="D25" s="1">
        <f t="shared" si="2"/>
        <v>0.84210526315789469</v>
      </c>
      <c r="E25" s="1">
        <f t="shared" si="2"/>
        <v>0.48684210526315791</v>
      </c>
      <c r="F25" s="1">
        <f t="shared" si="2"/>
        <v>0.43421052631578949</v>
      </c>
      <c r="G25" s="1">
        <f t="shared" si="2"/>
        <v>0.52631578947368418</v>
      </c>
      <c r="H25" s="1">
        <f t="shared" si="2"/>
        <v>0.65789473684210531</v>
      </c>
      <c r="I25" s="1">
        <f t="shared" si="2"/>
        <v>0.73684210526315785</v>
      </c>
    </row>
  </sheetData>
  <sortState xmlns:xlrd2="http://schemas.microsoft.com/office/spreadsheetml/2017/richdata2" ref="B3:M22">
    <sortCondition ref="M4:M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py-np-pd-2</vt:lpstr>
      <vt:lpstr>py-np-pd</vt:lpstr>
      <vt:lpstr>py-review</vt:lpstr>
      <vt:lpstr>py-review(OLD)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Tsangyao Chen</dc:creator>
  <cp:lastModifiedBy>Tsangyao Chen</cp:lastModifiedBy>
  <dcterms:created xsi:type="dcterms:W3CDTF">2025-10-01T17:05:04Z</dcterms:created>
  <dcterms:modified xsi:type="dcterms:W3CDTF">2025-10-16T14:26:01Z</dcterms:modified>
</cp:coreProperties>
</file>