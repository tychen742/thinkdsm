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en/workspace/dsm/data/3420-2025-fall-quizzes/"/>
    </mc:Choice>
  </mc:AlternateContent>
  <xr:revisionPtr revIDLastSave="0" documentId="13_ncr:1_{DA78F7CA-EF6D-9E43-A012-AD0784320833}" xr6:coauthVersionLast="47" xr6:coauthVersionMax="47" xr10:uidLastSave="{00000000-0000-0000-0000-000000000000}"/>
  <bookViews>
    <workbookView xWindow="-32100" yWindow="-2880" windowWidth="32100" windowHeight="20980" activeTab="1" xr2:uid="{02943BD8-8D23-1D42-A928-8937731C9A90}"/>
  </bookViews>
  <sheets>
    <sheet name="py-np-pd" sheetId="3" r:id="rId1"/>
    <sheet name="py-revi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3" i="2"/>
  <c r="C23" i="3"/>
  <c r="D23" i="3"/>
  <c r="E23" i="3"/>
  <c r="F23" i="3"/>
  <c r="G23" i="3"/>
  <c r="B23" i="3"/>
  <c r="C24" i="3"/>
  <c r="D24" i="3"/>
  <c r="E24" i="3"/>
  <c r="F24" i="3"/>
  <c r="G24" i="3"/>
  <c r="B24" i="3"/>
  <c r="H4" i="3"/>
  <c r="I4" i="3" s="1"/>
  <c r="H6" i="3"/>
  <c r="H7" i="3"/>
  <c r="I7" i="3" s="1"/>
  <c r="H3" i="3"/>
  <c r="I3" i="3" s="1"/>
  <c r="H8" i="3"/>
  <c r="I8" i="3" s="1"/>
  <c r="H10" i="3"/>
  <c r="I10" i="3" s="1"/>
  <c r="H9" i="3"/>
  <c r="I9" i="3" s="1"/>
  <c r="H11" i="3"/>
  <c r="I11" i="3" s="1"/>
  <c r="H13" i="3"/>
  <c r="I13" i="3" s="1"/>
  <c r="H12" i="3"/>
  <c r="I12" i="3" s="1"/>
  <c r="H15" i="3"/>
  <c r="I15" i="3" s="1"/>
  <c r="H18" i="3"/>
  <c r="I18" i="3" s="1"/>
  <c r="H17" i="3"/>
  <c r="I17" i="3" s="1"/>
  <c r="H19" i="3"/>
  <c r="I19" i="3" s="1"/>
  <c r="H20" i="3"/>
  <c r="I20" i="3" s="1"/>
  <c r="H22" i="3"/>
  <c r="I22" i="3" s="1"/>
  <c r="H5" i="3"/>
  <c r="I5" i="3" s="1"/>
  <c r="K23" i="2"/>
  <c r="K24" i="2" s="1"/>
  <c r="J23" i="2"/>
  <c r="J24" i="2" s="1"/>
  <c r="I23" i="2"/>
  <c r="I24" i="2" s="1"/>
  <c r="H23" i="2"/>
  <c r="H24" i="2" s="1"/>
  <c r="G23" i="2"/>
  <c r="G24" i="2" s="1"/>
  <c r="F23" i="2"/>
  <c r="F24" i="2" s="1"/>
  <c r="E23" i="2"/>
  <c r="E24" i="2" s="1"/>
  <c r="D23" i="2"/>
  <c r="D24" i="2" s="1"/>
  <c r="C23" i="2"/>
  <c r="C24" i="2" s="1"/>
  <c r="B23" i="2"/>
  <c r="B24" i="2" s="1"/>
  <c r="H23" i="3" l="1"/>
  <c r="I6" i="3"/>
  <c r="H24" i="3"/>
</calcChain>
</file>

<file path=xl/sharedStrings.xml><?xml version="1.0" encoding="utf-8"?>
<sst xmlns="http://schemas.openxmlformats.org/spreadsheetml/2006/main" count="59" uniqueCount="25">
  <si>
    <t>total</t>
  </si>
  <si>
    <t>1. Data Structure</t>
  </si>
  <si>
    <t>2. Lists</t>
  </si>
  <si>
    <t>3. Strings</t>
  </si>
  <si>
    <t>4. Loops</t>
  </si>
  <si>
    <t>5. Function</t>
  </si>
  <si>
    <t>q01.1. Data Types</t>
  </si>
  <si>
    <t>q02.1. Square Brackets</t>
  </si>
  <si>
    <t>q02.2. List Constructor</t>
  </si>
  <si>
    <t>q02.3. List Comprehension</t>
  </si>
  <si>
    <t>q03.1. List Constructor</t>
  </si>
  <si>
    <t>q03.2. split() Method</t>
  </si>
  <si>
    <t>q04.1. Looping Lists</t>
  </si>
  <si>
    <t>q04.2. Looping Range</t>
  </si>
  <si>
    <t>q04.3. Looping Strings</t>
  </si>
  <si>
    <t>q05. Function</t>
  </si>
  <si>
    <t>q1.1.for loop - list</t>
  </si>
  <si>
    <t>q1.2. List Comprehension</t>
  </si>
  <si>
    <t>q1.3. dictionary</t>
  </si>
  <si>
    <t>q2.2 np-matrix</t>
  </si>
  <si>
    <t>q3.3. Create DataFrame</t>
  </si>
  <si>
    <t>q3.5 Missing data</t>
  </si>
  <si>
    <t>NA</t>
  </si>
  <si>
    <t>percent</t>
  </si>
  <si>
    <t>quiz_ID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</si>
</sst>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88FA-08F2-5D4B-BCDA-BABB71AA94B0}">
  <dimension ref="A2:I24"/>
  <sheetViews>
    <sheetView workbookViewId="0">
      <selection activeCell="F33" sqref="F33"/>
    </sheetView>
  </sheetViews>
  <sheetFormatPr baseColWidth="10" defaultColWidth="3.33203125" defaultRowHeight="16" x14ac:dyDescent="0.2"/>
  <cols>
    <col min="1" max="1" width="8" bestFit="1" customWidth="1"/>
    <col min="2" max="2" width="15" bestFit="1" customWidth="1"/>
    <col min="3" max="3" width="21.83203125" bestFit="1" customWidth="1"/>
    <col min="4" max="4" width="13.6640625" bestFit="1" customWidth="1"/>
    <col min="5" max="5" width="12.83203125" bestFit="1" customWidth="1"/>
    <col min="6" max="6" width="20.83203125" bestFit="1" customWidth="1"/>
    <col min="7" max="7" width="15" bestFit="1" customWidth="1"/>
    <col min="8" max="8" width="6.1640625" bestFit="1" customWidth="1"/>
    <col min="9" max="9" width="8.1640625" bestFit="1" customWidth="1"/>
  </cols>
  <sheetData>
    <row r="2" spans="1:9" x14ac:dyDescent="0.2">
      <c r="A2" t="s">
        <v>24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0</v>
      </c>
      <c r="I2" t="s">
        <v>23</v>
      </c>
    </row>
    <row r="3" spans="1:9" x14ac:dyDescent="0.2">
      <c r="A3">
        <v>19</v>
      </c>
      <c r="B3">
        <v>2</v>
      </c>
      <c r="C3">
        <v>2</v>
      </c>
      <c r="D3">
        <v>1.75</v>
      </c>
      <c r="E3">
        <v>1.25</v>
      </c>
      <c r="F3">
        <v>0.5</v>
      </c>
      <c r="G3">
        <v>0</v>
      </c>
      <c r="H3">
        <f>SUM(B3:G3)</f>
        <v>7.5</v>
      </c>
      <c r="I3" s="2">
        <f>H3/10</f>
        <v>0.75</v>
      </c>
    </row>
    <row r="4" spans="1:9" x14ac:dyDescent="0.2">
      <c r="A4">
        <v>7</v>
      </c>
      <c r="B4">
        <v>1.75</v>
      </c>
      <c r="C4">
        <v>0</v>
      </c>
      <c r="D4">
        <v>2</v>
      </c>
      <c r="E4">
        <v>0.25</v>
      </c>
      <c r="F4">
        <v>0</v>
      </c>
      <c r="G4">
        <v>0</v>
      </c>
      <c r="H4">
        <f>SUM(B4:G4)</f>
        <v>4</v>
      </c>
      <c r="I4" s="2">
        <f>H4/10</f>
        <v>0.4</v>
      </c>
    </row>
    <row r="5" spans="1:9" x14ac:dyDescent="0.2">
      <c r="A5">
        <v>3</v>
      </c>
      <c r="B5">
        <v>1.5</v>
      </c>
      <c r="C5">
        <v>0</v>
      </c>
      <c r="D5">
        <v>2</v>
      </c>
      <c r="E5">
        <v>1.25</v>
      </c>
      <c r="F5">
        <v>1.75</v>
      </c>
      <c r="G5">
        <v>1.75</v>
      </c>
      <c r="H5">
        <f>SUM(B5:G5)</f>
        <v>8.25</v>
      </c>
      <c r="I5" s="2">
        <f>H5/10</f>
        <v>0.82499999999999996</v>
      </c>
    </row>
    <row r="6" spans="1:9" x14ac:dyDescent="0.2">
      <c r="A6">
        <v>12</v>
      </c>
      <c r="B6">
        <v>0.25</v>
      </c>
      <c r="C6">
        <v>0.5</v>
      </c>
      <c r="D6">
        <v>2</v>
      </c>
      <c r="E6">
        <v>0</v>
      </c>
      <c r="F6">
        <v>1</v>
      </c>
      <c r="G6">
        <v>0</v>
      </c>
      <c r="H6">
        <f>SUM(B6:G6)</f>
        <v>3.75</v>
      </c>
      <c r="I6" s="2">
        <f>H6/10</f>
        <v>0.375</v>
      </c>
    </row>
    <row r="7" spans="1:9" x14ac:dyDescent="0.2">
      <c r="A7">
        <v>18</v>
      </c>
      <c r="B7">
        <v>1.75</v>
      </c>
      <c r="C7">
        <v>2</v>
      </c>
      <c r="D7">
        <v>2</v>
      </c>
      <c r="E7">
        <v>0.25</v>
      </c>
      <c r="F7">
        <v>0.5</v>
      </c>
      <c r="G7">
        <v>1</v>
      </c>
      <c r="H7">
        <f>SUM(B7:G7)</f>
        <v>7.5</v>
      </c>
      <c r="I7" s="2">
        <f>H7/10</f>
        <v>0.75</v>
      </c>
    </row>
    <row r="8" spans="1:9" x14ac:dyDescent="0.2">
      <c r="A8">
        <v>2</v>
      </c>
      <c r="B8">
        <v>0.5</v>
      </c>
      <c r="C8">
        <v>1.5</v>
      </c>
      <c r="D8">
        <v>1.5</v>
      </c>
      <c r="E8">
        <v>0.75</v>
      </c>
      <c r="F8">
        <v>0.5</v>
      </c>
      <c r="G8">
        <v>1</v>
      </c>
      <c r="H8">
        <f>SUM(B8:G8)</f>
        <v>5.75</v>
      </c>
      <c r="I8" s="2">
        <f>H8/10</f>
        <v>0.57499999999999996</v>
      </c>
    </row>
    <row r="9" spans="1:9" x14ac:dyDescent="0.2">
      <c r="A9">
        <v>15</v>
      </c>
      <c r="B9">
        <v>2</v>
      </c>
      <c r="C9">
        <v>0</v>
      </c>
      <c r="D9">
        <v>1.5</v>
      </c>
      <c r="E9">
        <v>1.5</v>
      </c>
      <c r="F9">
        <v>0.5</v>
      </c>
      <c r="G9">
        <v>2</v>
      </c>
      <c r="H9">
        <f>SUM(B9:G9)</f>
        <v>7.5</v>
      </c>
      <c r="I9" s="2">
        <f>H9/10</f>
        <v>0.75</v>
      </c>
    </row>
    <row r="10" spans="1:9" x14ac:dyDescent="0.2">
      <c r="A10">
        <v>6</v>
      </c>
      <c r="B10">
        <v>0.25</v>
      </c>
      <c r="C10">
        <v>0</v>
      </c>
      <c r="D10">
        <v>2</v>
      </c>
      <c r="E10">
        <v>1.5</v>
      </c>
      <c r="F10">
        <v>0.5</v>
      </c>
      <c r="G10">
        <v>2</v>
      </c>
      <c r="H10">
        <f>SUM(B10:G10)</f>
        <v>6.25</v>
      </c>
      <c r="I10" s="2">
        <f>H10/10</f>
        <v>0.625</v>
      </c>
    </row>
    <row r="11" spans="1:9" x14ac:dyDescent="0.2">
      <c r="A11">
        <v>16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f>SUM(B11:G11)</f>
        <v>12</v>
      </c>
      <c r="I11" s="2">
        <f>H11/10</f>
        <v>1.2</v>
      </c>
    </row>
    <row r="12" spans="1:9" x14ac:dyDescent="0.2">
      <c r="A12">
        <v>14</v>
      </c>
      <c r="B12">
        <v>0</v>
      </c>
      <c r="C12">
        <v>0</v>
      </c>
      <c r="D12">
        <v>1.5</v>
      </c>
      <c r="E12">
        <v>0.5</v>
      </c>
      <c r="F12">
        <v>0</v>
      </c>
      <c r="G12">
        <v>0</v>
      </c>
      <c r="H12">
        <f>SUM(B12:G12)</f>
        <v>2</v>
      </c>
      <c r="I12" s="2">
        <f>H12/10</f>
        <v>0.2</v>
      </c>
    </row>
    <row r="13" spans="1:9" x14ac:dyDescent="0.2">
      <c r="A13">
        <v>13</v>
      </c>
      <c r="B13">
        <v>0.25</v>
      </c>
      <c r="C13">
        <v>0</v>
      </c>
      <c r="D13">
        <v>1.5</v>
      </c>
      <c r="E13">
        <v>0.25</v>
      </c>
      <c r="F13">
        <v>0</v>
      </c>
      <c r="G13">
        <v>0</v>
      </c>
      <c r="H13">
        <f>SUM(B13:G13)</f>
        <v>2</v>
      </c>
      <c r="I13" s="2">
        <f>H13/10</f>
        <v>0.2</v>
      </c>
    </row>
    <row r="14" spans="1:9" x14ac:dyDescent="0.2">
      <c r="A14">
        <v>20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s="2"/>
    </row>
    <row r="15" spans="1:9" x14ac:dyDescent="0.2">
      <c r="A15">
        <v>17</v>
      </c>
      <c r="B15">
        <v>1.75</v>
      </c>
      <c r="C15">
        <v>0</v>
      </c>
      <c r="D15">
        <v>2</v>
      </c>
      <c r="E15">
        <v>1.5</v>
      </c>
      <c r="F15">
        <v>2</v>
      </c>
      <c r="G15">
        <v>1.5</v>
      </c>
      <c r="H15">
        <f>SUM(B15:G15)</f>
        <v>8.75</v>
      </c>
      <c r="I15" s="2">
        <f>H15/10</f>
        <v>0.875</v>
      </c>
    </row>
    <row r="16" spans="1:9" x14ac:dyDescent="0.2">
      <c r="A16">
        <v>11</v>
      </c>
      <c r="B16" t="s">
        <v>22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s="2"/>
    </row>
    <row r="17" spans="1:9" x14ac:dyDescent="0.2">
      <c r="A17">
        <v>5</v>
      </c>
      <c r="B17">
        <v>2</v>
      </c>
      <c r="C17">
        <v>0</v>
      </c>
      <c r="D17">
        <v>1.5</v>
      </c>
      <c r="E17">
        <v>0.5</v>
      </c>
      <c r="F17">
        <v>1.5</v>
      </c>
      <c r="G17">
        <v>1.5</v>
      </c>
      <c r="H17">
        <f>SUM(B17:G17)</f>
        <v>7</v>
      </c>
      <c r="I17" s="2">
        <f>H17/10</f>
        <v>0.7</v>
      </c>
    </row>
    <row r="18" spans="1:9" x14ac:dyDescent="0.2">
      <c r="A18">
        <v>1</v>
      </c>
      <c r="B18">
        <v>0</v>
      </c>
      <c r="C18">
        <v>0.25</v>
      </c>
      <c r="D18">
        <v>1.75</v>
      </c>
      <c r="E18">
        <v>0</v>
      </c>
      <c r="F18">
        <v>0.25</v>
      </c>
      <c r="G18">
        <v>0</v>
      </c>
      <c r="H18">
        <f>SUM(B18:G18)</f>
        <v>2.25</v>
      </c>
      <c r="I18" s="2">
        <f>H18/10</f>
        <v>0.22500000000000001</v>
      </c>
    </row>
    <row r="19" spans="1:9" x14ac:dyDescent="0.2">
      <c r="A19">
        <v>9</v>
      </c>
      <c r="B19">
        <v>0.5</v>
      </c>
      <c r="C19">
        <v>0</v>
      </c>
      <c r="D19">
        <v>1.5</v>
      </c>
      <c r="E19">
        <v>1.25</v>
      </c>
      <c r="F19">
        <v>1.5</v>
      </c>
      <c r="G19">
        <v>2</v>
      </c>
      <c r="H19">
        <f>SUM(B19:G19)</f>
        <v>6.75</v>
      </c>
      <c r="I19" s="2">
        <f>H19/10</f>
        <v>0.67500000000000004</v>
      </c>
    </row>
    <row r="20" spans="1:9" x14ac:dyDescent="0.2">
      <c r="A20">
        <v>10</v>
      </c>
      <c r="B20">
        <v>0.5</v>
      </c>
      <c r="C20">
        <v>0.5</v>
      </c>
      <c r="D20">
        <v>2</v>
      </c>
      <c r="E20">
        <v>0</v>
      </c>
      <c r="F20">
        <v>2</v>
      </c>
      <c r="G20">
        <v>1</v>
      </c>
      <c r="H20">
        <f>SUM(B20:G20)</f>
        <v>6</v>
      </c>
      <c r="I20" s="2">
        <f>H20/10</f>
        <v>0.6</v>
      </c>
    </row>
    <row r="21" spans="1:9" x14ac:dyDescent="0.2">
      <c r="A21">
        <v>8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s="2"/>
    </row>
    <row r="22" spans="1:9" x14ac:dyDescent="0.2">
      <c r="A22">
        <v>4</v>
      </c>
      <c r="B22">
        <v>0</v>
      </c>
      <c r="C22">
        <v>0</v>
      </c>
      <c r="D22">
        <v>1.5</v>
      </c>
      <c r="E22">
        <v>0</v>
      </c>
      <c r="F22">
        <v>0</v>
      </c>
      <c r="G22">
        <v>0.5</v>
      </c>
      <c r="H22">
        <f>SUM(B22:G22)</f>
        <v>2</v>
      </c>
      <c r="I22" s="2">
        <f>H22/10</f>
        <v>0.2</v>
      </c>
    </row>
    <row r="23" spans="1:9" x14ac:dyDescent="0.2">
      <c r="B23">
        <f>SUM(B3:B22)</f>
        <v>17</v>
      </c>
      <c r="C23">
        <f>SUM(C3:C22)</f>
        <v>8.75</v>
      </c>
      <c r="D23">
        <f>SUM(D3:D22)</f>
        <v>30</v>
      </c>
      <c r="E23">
        <f>SUM(E3:E22)</f>
        <v>12.75</v>
      </c>
      <c r="F23">
        <f>SUM(F3:F22)</f>
        <v>14.5</v>
      </c>
      <c r="G23">
        <f>SUM(G3:G22)</f>
        <v>16.25</v>
      </c>
      <c r="H23">
        <f>SUM(H3:H22)</f>
        <v>99.25</v>
      </c>
      <c r="I23" s="2"/>
    </row>
    <row r="24" spans="1:9" x14ac:dyDescent="0.2">
      <c r="B24" s="1">
        <f>SUM(B3:B22)/34</f>
        <v>0.5</v>
      </c>
      <c r="C24" s="1">
        <f>SUM(C3:C22)/34</f>
        <v>0.25735294117647056</v>
      </c>
      <c r="D24" s="1">
        <f>SUM(D3:D22)/34</f>
        <v>0.88235294117647056</v>
      </c>
      <c r="E24" s="1">
        <f>SUM(E3:E22)/34</f>
        <v>0.375</v>
      </c>
      <c r="F24" s="1">
        <f>SUM(F3:F22)/34</f>
        <v>0.4264705882352941</v>
      </c>
      <c r="G24" s="1">
        <f>SUM(G3:G22)/34</f>
        <v>0.47794117647058826</v>
      </c>
      <c r="H24" s="1">
        <f>SUM(H3:H22)/(34*6)</f>
        <v>0.48651960784313725</v>
      </c>
      <c r="I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0603-E249-6C49-AFDF-564C1138E589}">
  <dimension ref="A1:M24"/>
  <sheetViews>
    <sheetView tabSelected="1" workbookViewId="0">
      <selection activeCell="E37" sqref="E37"/>
    </sheetView>
  </sheetViews>
  <sheetFormatPr baseColWidth="10" defaultColWidth="3.33203125" defaultRowHeight="16" x14ac:dyDescent="0.2"/>
  <cols>
    <col min="1" max="1" width="8" bestFit="1" customWidth="1"/>
    <col min="2" max="2" width="15.33203125" bestFit="1" customWidth="1"/>
    <col min="3" max="3" width="19.83203125" bestFit="1" customWidth="1"/>
    <col min="4" max="4" width="19.6640625" bestFit="1" customWidth="1"/>
    <col min="5" max="5" width="22.83203125" bestFit="1" customWidth="1"/>
    <col min="6" max="6" width="19.6640625" bestFit="1" customWidth="1"/>
    <col min="7" max="7" width="18" bestFit="1" customWidth="1"/>
    <col min="8" max="8" width="16.83203125" bestFit="1" customWidth="1"/>
    <col min="9" max="9" width="18.1640625" bestFit="1" customWidth="1"/>
    <col min="10" max="10" width="18.6640625" bestFit="1" customWidth="1"/>
    <col min="11" max="11" width="12.1640625" bestFit="1" customWidth="1"/>
    <col min="12" max="12" width="5.1640625" bestFit="1" customWidth="1"/>
    <col min="13" max="13" width="7.83203125" bestFit="1" customWidth="1"/>
  </cols>
  <sheetData>
    <row r="1" spans="1:13" x14ac:dyDescent="0.2">
      <c r="B1" t="s">
        <v>1</v>
      </c>
      <c r="C1" t="s">
        <v>2</v>
      </c>
      <c r="F1" t="s">
        <v>3</v>
      </c>
      <c r="H1" t="s">
        <v>4</v>
      </c>
      <c r="K1" t="s">
        <v>5</v>
      </c>
    </row>
    <row r="2" spans="1:13" x14ac:dyDescent="0.2">
      <c r="A2" t="s">
        <v>24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0</v>
      </c>
      <c r="M2" t="s">
        <v>23</v>
      </c>
    </row>
    <row r="3" spans="1:13" x14ac:dyDescent="0.2">
      <c r="A3">
        <v>19</v>
      </c>
      <c r="B3">
        <v>1</v>
      </c>
      <c r="C3">
        <v>1</v>
      </c>
      <c r="D3">
        <v>1</v>
      </c>
      <c r="E3">
        <v>1</v>
      </c>
      <c r="F3">
        <v>1</v>
      </c>
      <c r="G3">
        <v>0.75</v>
      </c>
      <c r="H3">
        <v>1</v>
      </c>
      <c r="I3">
        <v>1</v>
      </c>
      <c r="J3">
        <v>1</v>
      </c>
      <c r="K3">
        <v>1</v>
      </c>
      <c r="L3">
        <v>9.75</v>
      </c>
      <c r="M3" s="2">
        <f>L3/10</f>
        <v>0.97499999999999998</v>
      </c>
    </row>
    <row r="4" spans="1:13" x14ac:dyDescent="0.2">
      <c r="A4">
        <v>7</v>
      </c>
      <c r="B4">
        <v>1</v>
      </c>
      <c r="C4">
        <v>1</v>
      </c>
      <c r="D4">
        <v>0.5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0</v>
      </c>
      <c r="L4">
        <v>5.5</v>
      </c>
      <c r="M4" s="2">
        <f t="shared" ref="M4:M22" si="0">L4/10</f>
        <v>0.55000000000000004</v>
      </c>
    </row>
    <row r="5" spans="1:13" x14ac:dyDescent="0.2">
      <c r="A5">
        <v>3</v>
      </c>
      <c r="B5">
        <v>0.25</v>
      </c>
      <c r="C5">
        <v>0.5</v>
      </c>
      <c r="D5">
        <v>0.25</v>
      </c>
      <c r="E5">
        <v>0</v>
      </c>
      <c r="F5">
        <v>1</v>
      </c>
      <c r="G5">
        <v>0.5</v>
      </c>
      <c r="H5">
        <v>0</v>
      </c>
      <c r="I5">
        <v>0</v>
      </c>
      <c r="J5">
        <v>0</v>
      </c>
      <c r="K5">
        <v>0</v>
      </c>
      <c r="L5">
        <v>2.5</v>
      </c>
      <c r="M5" s="2">
        <f t="shared" si="0"/>
        <v>0.25</v>
      </c>
    </row>
    <row r="6" spans="1:13" x14ac:dyDescent="0.2">
      <c r="A6">
        <v>12</v>
      </c>
      <c r="B6">
        <v>1</v>
      </c>
      <c r="C6">
        <v>1</v>
      </c>
      <c r="D6">
        <v>0</v>
      </c>
      <c r="E6">
        <v>1</v>
      </c>
      <c r="F6">
        <v>0</v>
      </c>
      <c r="G6">
        <v>1</v>
      </c>
      <c r="H6">
        <v>0.5</v>
      </c>
      <c r="I6">
        <v>0.5</v>
      </c>
      <c r="J6">
        <v>1</v>
      </c>
      <c r="K6">
        <v>0.75</v>
      </c>
      <c r="L6">
        <v>6.75</v>
      </c>
      <c r="M6" s="2">
        <f t="shared" si="0"/>
        <v>0.67500000000000004</v>
      </c>
    </row>
    <row r="7" spans="1:13" x14ac:dyDescent="0.2">
      <c r="A7">
        <v>18</v>
      </c>
      <c r="B7">
        <v>1</v>
      </c>
      <c r="C7">
        <v>1</v>
      </c>
      <c r="D7">
        <v>1</v>
      </c>
      <c r="E7">
        <v>1</v>
      </c>
      <c r="F7">
        <v>1</v>
      </c>
      <c r="G7">
        <v>0.25</v>
      </c>
      <c r="H7">
        <v>1</v>
      </c>
      <c r="I7">
        <v>1</v>
      </c>
      <c r="J7">
        <v>1</v>
      </c>
      <c r="K7">
        <v>1</v>
      </c>
      <c r="L7">
        <v>9.75</v>
      </c>
      <c r="M7" s="2">
        <f t="shared" si="0"/>
        <v>0.97499999999999998</v>
      </c>
    </row>
    <row r="8" spans="1:13" x14ac:dyDescent="0.2">
      <c r="A8">
        <v>2</v>
      </c>
      <c r="B8">
        <v>0.5</v>
      </c>
      <c r="C8">
        <v>1</v>
      </c>
      <c r="D8">
        <v>0.5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</v>
      </c>
      <c r="M8" s="2">
        <f t="shared" si="0"/>
        <v>0.2</v>
      </c>
    </row>
    <row r="9" spans="1:13" x14ac:dyDescent="0.2">
      <c r="A9">
        <v>15</v>
      </c>
      <c r="B9">
        <v>1</v>
      </c>
      <c r="C9">
        <v>0.5</v>
      </c>
      <c r="D9">
        <v>1</v>
      </c>
      <c r="E9">
        <v>1</v>
      </c>
      <c r="F9">
        <v>1</v>
      </c>
      <c r="G9">
        <v>0.75</v>
      </c>
      <c r="H9">
        <v>1</v>
      </c>
      <c r="I9">
        <v>1</v>
      </c>
      <c r="J9">
        <v>1</v>
      </c>
      <c r="K9">
        <v>0.75</v>
      </c>
      <c r="L9">
        <v>9</v>
      </c>
      <c r="M9" s="2">
        <f t="shared" si="0"/>
        <v>0.9</v>
      </c>
    </row>
    <row r="10" spans="1:13" x14ac:dyDescent="0.2">
      <c r="A10">
        <v>6</v>
      </c>
      <c r="B10">
        <v>0</v>
      </c>
      <c r="C10">
        <v>0.5</v>
      </c>
      <c r="D10">
        <v>0</v>
      </c>
      <c r="E10">
        <v>0.5</v>
      </c>
      <c r="F10">
        <v>0</v>
      </c>
      <c r="G10">
        <v>1</v>
      </c>
      <c r="H10">
        <v>1</v>
      </c>
      <c r="I10">
        <v>0.5</v>
      </c>
      <c r="J10">
        <v>0</v>
      </c>
      <c r="K10">
        <v>0</v>
      </c>
      <c r="L10">
        <v>4.5</v>
      </c>
      <c r="M10" s="2">
        <f t="shared" si="0"/>
        <v>0.45</v>
      </c>
    </row>
    <row r="11" spans="1:13" x14ac:dyDescent="0.2">
      <c r="A11">
        <v>16</v>
      </c>
      <c r="B11">
        <v>0.75</v>
      </c>
      <c r="C11">
        <v>1</v>
      </c>
      <c r="D11">
        <v>1</v>
      </c>
      <c r="E11">
        <v>0.75</v>
      </c>
      <c r="F11">
        <v>1</v>
      </c>
      <c r="G11">
        <v>0.75</v>
      </c>
      <c r="H11">
        <v>1</v>
      </c>
      <c r="I11">
        <v>0.75</v>
      </c>
      <c r="J11">
        <v>1</v>
      </c>
      <c r="K11">
        <v>1</v>
      </c>
      <c r="L11">
        <v>9</v>
      </c>
      <c r="M11" s="2">
        <f t="shared" si="0"/>
        <v>0.9</v>
      </c>
    </row>
    <row r="12" spans="1:13" x14ac:dyDescent="0.2">
      <c r="A12">
        <v>14</v>
      </c>
      <c r="B12">
        <v>1</v>
      </c>
      <c r="C12">
        <v>1</v>
      </c>
      <c r="D12">
        <v>0.5</v>
      </c>
      <c r="E12">
        <v>0.5</v>
      </c>
      <c r="F12">
        <v>1</v>
      </c>
      <c r="G12">
        <v>0.75</v>
      </c>
      <c r="H12">
        <v>1</v>
      </c>
      <c r="I12">
        <v>1</v>
      </c>
      <c r="J12">
        <v>1</v>
      </c>
      <c r="K12">
        <v>1</v>
      </c>
      <c r="L12">
        <v>8.75</v>
      </c>
      <c r="M12" s="2">
        <f t="shared" si="0"/>
        <v>0.875</v>
      </c>
    </row>
    <row r="13" spans="1:13" x14ac:dyDescent="0.2">
      <c r="A13">
        <v>13</v>
      </c>
      <c r="B13">
        <v>0.25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0</v>
      </c>
      <c r="L13">
        <v>8.25</v>
      </c>
      <c r="M13" s="2">
        <f t="shared" si="0"/>
        <v>0.82499999999999996</v>
      </c>
    </row>
    <row r="14" spans="1:13" x14ac:dyDescent="0.2">
      <c r="A14">
        <v>20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s="2" t="e">
        <f t="shared" si="0"/>
        <v>#VALUE!</v>
      </c>
    </row>
    <row r="15" spans="1:13" x14ac:dyDescent="0.2">
      <c r="A15">
        <v>17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0.5</v>
      </c>
      <c r="L15">
        <v>9.5</v>
      </c>
      <c r="M15" s="2">
        <f t="shared" si="0"/>
        <v>0.95</v>
      </c>
    </row>
    <row r="16" spans="1:13" x14ac:dyDescent="0.2">
      <c r="A16">
        <v>11</v>
      </c>
      <c r="B16">
        <v>1</v>
      </c>
      <c r="C16">
        <v>1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1</v>
      </c>
      <c r="K16">
        <v>0.25</v>
      </c>
      <c r="L16">
        <v>6.25</v>
      </c>
      <c r="M16" s="2">
        <f t="shared" si="0"/>
        <v>0.625</v>
      </c>
    </row>
    <row r="17" spans="1:13" x14ac:dyDescent="0.2">
      <c r="A17">
        <v>5</v>
      </c>
      <c r="B17">
        <v>0</v>
      </c>
      <c r="C17">
        <v>0.5</v>
      </c>
      <c r="D17">
        <v>0</v>
      </c>
      <c r="E17">
        <v>0</v>
      </c>
      <c r="F17">
        <v>0</v>
      </c>
      <c r="G17">
        <v>0.5</v>
      </c>
      <c r="H17">
        <v>1</v>
      </c>
      <c r="I17">
        <v>0.5</v>
      </c>
      <c r="J17">
        <v>1</v>
      </c>
      <c r="K17">
        <v>0</v>
      </c>
      <c r="L17">
        <v>3.5</v>
      </c>
      <c r="M17" s="2">
        <f t="shared" si="0"/>
        <v>0.35</v>
      </c>
    </row>
    <row r="18" spans="1:13" x14ac:dyDescent="0.2">
      <c r="A18">
        <v>1</v>
      </c>
      <c r="B18">
        <v>0.25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1.25</v>
      </c>
      <c r="M18" s="2">
        <f t="shared" si="0"/>
        <v>0.125</v>
      </c>
    </row>
    <row r="19" spans="1:13" x14ac:dyDescent="0.2">
      <c r="A19">
        <v>9</v>
      </c>
      <c r="B19">
        <v>0.75</v>
      </c>
      <c r="C19">
        <v>1</v>
      </c>
      <c r="D19">
        <v>0</v>
      </c>
      <c r="E19">
        <v>0</v>
      </c>
      <c r="F19">
        <v>0</v>
      </c>
      <c r="G19">
        <v>0.75</v>
      </c>
      <c r="H19">
        <v>1</v>
      </c>
      <c r="I19">
        <v>0.5</v>
      </c>
      <c r="J19">
        <v>1</v>
      </c>
      <c r="K19">
        <v>0.75</v>
      </c>
      <c r="L19">
        <v>5.75</v>
      </c>
      <c r="M19" s="2">
        <f t="shared" si="0"/>
        <v>0.57499999999999996</v>
      </c>
    </row>
    <row r="20" spans="1:13" x14ac:dyDescent="0.2">
      <c r="A20">
        <v>10</v>
      </c>
      <c r="B20">
        <v>1</v>
      </c>
      <c r="C20">
        <v>0.5</v>
      </c>
      <c r="D20">
        <v>0.5</v>
      </c>
      <c r="E20">
        <v>0</v>
      </c>
      <c r="F20">
        <v>1</v>
      </c>
      <c r="G20">
        <v>1</v>
      </c>
      <c r="H20">
        <v>1</v>
      </c>
      <c r="I20">
        <v>0</v>
      </c>
      <c r="J20">
        <v>1</v>
      </c>
      <c r="K20">
        <v>0</v>
      </c>
      <c r="L20">
        <v>6</v>
      </c>
      <c r="M20" s="2">
        <f t="shared" si="0"/>
        <v>0.6</v>
      </c>
    </row>
    <row r="21" spans="1:13" x14ac:dyDescent="0.2">
      <c r="A21">
        <v>8</v>
      </c>
      <c r="B21">
        <v>1</v>
      </c>
      <c r="C21">
        <v>0.5</v>
      </c>
      <c r="D21">
        <v>1</v>
      </c>
      <c r="E21">
        <v>0.5</v>
      </c>
      <c r="F21">
        <v>1</v>
      </c>
      <c r="G21">
        <v>0.5</v>
      </c>
      <c r="H21">
        <v>0</v>
      </c>
      <c r="I21">
        <v>0.5</v>
      </c>
      <c r="J21">
        <v>0.5</v>
      </c>
      <c r="K21">
        <v>0</v>
      </c>
      <c r="L21">
        <v>5.5</v>
      </c>
      <c r="M21" s="2">
        <f t="shared" si="0"/>
        <v>0.55000000000000004</v>
      </c>
    </row>
    <row r="22" spans="1:13" x14ac:dyDescent="0.2">
      <c r="A22">
        <v>4</v>
      </c>
      <c r="B22">
        <v>0.25</v>
      </c>
      <c r="C22">
        <v>1</v>
      </c>
      <c r="D22">
        <v>0</v>
      </c>
      <c r="E22">
        <v>0</v>
      </c>
      <c r="F22">
        <v>0</v>
      </c>
      <c r="G22">
        <v>1</v>
      </c>
      <c r="H22">
        <v>0.5</v>
      </c>
      <c r="I22">
        <v>0</v>
      </c>
      <c r="J22">
        <v>0</v>
      </c>
      <c r="K22">
        <v>0</v>
      </c>
      <c r="L22">
        <v>3.25</v>
      </c>
      <c r="M22" s="2">
        <f t="shared" si="0"/>
        <v>0.32500000000000001</v>
      </c>
    </row>
    <row r="23" spans="1:13" x14ac:dyDescent="0.2">
      <c r="B23">
        <f>SUM(B3:B22)</f>
        <v>13</v>
      </c>
      <c r="C23">
        <f>SUM(C3:C22)</f>
        <v>16</v>
      </c>
      <c r="D23">
        <f>SUM(D3:D22)</f>
        <v>9.25</v>
      </c>
      <c r="E23">
        <f>SUM(E3:E22)</f>
        <v>8.25</v>
      </c>
      <c r="F23">
        <f>SUM(F3:F22)</f>
        <v>10</v>
      </c>
      <c r="G23">
        <f>SUM(G3:G22)</f>
        <v>12.5</v>
      </c>
      <c r="H23">
        <f>SUM(H3:H22)</f>
        <v>14</v>
      </c>
      <c r="I23">
        <f>SUM(I3:I22)</f>
        <v>11.25</v>
      </c>
      <c r="J23">
        <f>SUM(J3:J22)</f>
        <v>13.5</v>
      </c>
      <c r="K23">
        <f>SUM(K3:K22)</f>
        <v>7</v>
      </c>
    </row>
    <row r="24" spans="1:13" x14ac:dyDescent="0.2">
      <c r="B24" s="1">
        <f>B23/19</f>
        <v>0.68421052631578949</v>
      </c>
      <c r="C24" s="1">
        <f>C23/19</f>
        <v>0.84210526315789469</v>
      </c>
      <c r="D24" s="1">
        <f>D23/19</f>
        <v>0.48684210526315791</v>
      </c>
      <c r="E24" s="1">
        <f>E23/19</f>
        <v>0.43421052631578949</v>
      </c>
      <c r="F24" s="1">
        <f>F23/19</f>
        <v>0.52631578947368418</v>
      </c>
      <c r="G24" s="1">
        <f>G23/19</f>
        <v>0.65789473684210531</v>
      </c>
      <c r="H24" s="1">
        <f>H23/19</f>
        <v>0.73684210526315785</v>
      </c>
      <c r="I24" s="1">
        <f>I23/19</f>
        <v>0.59210526315789469</v>
      </c>
      <c r="J24" s="1">
        <f>J23/19</f>
        <v>0.71052631578947367</v>
      </c>
      <c r="K24" s="1">
        <f>K23/19</f>
        <v>0.36842105263157893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py-np-pd</vt:lpstr>
      <vt:lpstr>py-review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Tsangyao Chen</dc:creator>
  <cp:lastModifiedBy>Chen, Tsangyao</cp:lastModifiedBy>
  <dcterms:created xsi:type="dcterms:W3CDTF">2025-10-01T17:05:04Z</dcterms:created>
  <dcterms:modified xsi:type="dcterms:W3CDTF">2025-10-16T05:50:58Z</dcterms:modified>
</cp:coreProperties>
</file>